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arier\Documents\Projets\Collaboration\"/>
    </mc:Choice>
  </mc:AlternateContent>
  <bookViews>
    <workbookView xWindow="360" yWindow="15" windowWidth="14880" windowHeight="11895"/>
  </bookViews>
  <sheets>
    <sheet name="Partie A" sheetId="1" r:id="rId1"/>
    <sheet name="Partie B" sheetId="2" r:id="rId2"/>
    <sheet name="Valeurs" sheetId="3" r:id="rId3"/>
  </sheets>
  <definedNames>
    <definedName name="coalition">Valeurs!$A$22:$A$37</definedName>
  </definedNames>
  <calcPr calcId="162913"/>
</workbook>
</file>

<file path=xl/calcChain.xml><?xml version="1.0" encoding="utf-8"?>
<calcChain xmlns="http://schemas.openxmlformats.org/spreadsheetml/2006/main">
  <c r="E8" i="1" l="1"/>
  <c r="F8" i="1"/>
  <c r="G8" i="1"/>
  <c r="H8" i="1"/>
  <c r="I8" i="1"/>
  <c r="J8" i="1"/>
  <c r="K8" i="1"/>
  <c r="E9" i="1"/>
  <c r="F9" i="1"/>
  <c r="G9" i="1"/>
  <c r="H9" i="1"/>
  <c r="I9" i="1"/>
  <c r="J9" i="1"/>
  <c r="K9" i="1"/>
  <c r="E10" i="1"/>
  <c r="F10" i="1"/>
  <c r="G10" i="1"/>
  <c r="H10" i="1"/>
  <c r="I10" i="1"/>
  <c r="J10" i="1"/>
  <c r="K10" i="1"/>
  <c r="E11" i="1"/>
  <c r="F11" i="1"/>
  <c r="G11" i="1"/>
  <c r="H11" i="1"/>
  <c r="I11" i="1"/>
  <c r="J11" i="1"/>
  <c r="K11" i="1"/>
  <c r="D9" i="1"/>
  <c r="D10" i="1"/>
  <c r="D11" i="1"/>
  <c r="D8" i="1"/>
  <c r="E8" i="2"/>
  <c r="F8" i="2"/>
  <c r="G8" i="2"/>
  <c r="H8" i="2"/>
  <c r="I8" i="2"/>
  <c r="J8" i="2"/>
  <c r="K8" i="2"/>
  <c r="E9" i="2"/>
  <c r="F9" i="2"/>
  <c r="G9" i="2"/>
  <c r="H9" i="2"/>
  <c r="I9" i="2"/>
  <c r="J9" i="2"/>
  <c r="K9" i="2"/>
  <c r="E10" i="2"/>
  <c r="F10" i="2"/>
  <c r="G10" i="2"/>
  <c r="H10" i="2"/>
  <c r="I10" i="2"/>
  <c r="J10" i="2"/>
  <c r="K10" i="2"/>
  <c r="E11" i="2"/>
  <c r="F11" i="2"/>
  <c r="G11" i="2"/>
  <c r="H11" i="2"/>
  <c r="I11" i="2"/>
  <c r="J11" i="2"/>
  <c r="K11" i="2"/>
  <c r="D9" i="2"/>
  <c r="D10" i="2"/>
  <c r="D11" i="2"/>
  <c r="D8" i="2"/>
  <c r="E21" i="2"/>
  <c r="F21" i="2"/>
  <c r="G21" i="2"/>
  <c r="H21" i="2"/>
  <c r="I21" i="2"/>
  <c r="J21" i="2"/>
  <c r="K21" i="2"/>
  <c r="E22" i="2"/>
  <c r="F22" i="2"/>
  <c r="G22" i="2"/>
  <c r="H22" i="2"/>
  <c r="I22" i="2"/>
  <c r="J22" i="2"/>
  <c r="K22" i="2"/>
  <c r="E23" i="2"/>
  <c r="F23" i="2"/>
  <c r="G23" i="2"/>
  <c r="H23" i="2"/>
  <c r="I23" i="2"/>
  <c r="J23" i="2"/>
  <c r="K23" i="2"/>
  <c r="E24" i="2"/>
  <c r="F24" i="2"/>
  <c r="G24" i="2"/>
  <c r="H24" i="2"/>
  <c r="I24" i="2"/>
  <c r="J24" i="2"/>
  <c r="K24" i="2"/>
  <c r="D22" i="2"/>
  <c r="D23" i="2"/>
  <c r="D24" i="2"/>
  <c r="D21" i="2"/>
  <c r="E21" i="1"/>
  <c r="F21" i="1"/>
  <c r="G21" i="1"/>
  <c r="H21" i="1"/>
  <c r="I21" i="1"/>
  <c r="J21" i="1"/>
  <c r="K21" i="1"/>
  <c r="E22" i="1"/>
  <c r="F22" i="1"/>
  <c r="G22" i="1"/>
  <c r="H22" i="1"/>
  <c r="I22" i="1"/>
  <c r="J22" i="1"/>
  <c r="K22" i="1"/>
  <c r="E23" i="1"/>
  <c r="F23" i="1"/>
  <c r="G23" i="1"/>
  <c r="H23" i="1"/>
  <c r="I23" i="1"/>
  <c r="J23" i="1"/>
  <c r="K23" i="1"/>
  <c r="E24" i="1"/>
  <c r="F24" i="1"/>
  <c r="G24" i="1"/>
  <c r="H24" i="1"/>
  <c r="I24" i="1"/>
  <c r="J24" i="1"/>
  <c r="K24" i="1"/>
  <c r="D22" i="1"/>
  <c r="D23" i="1"/>
  <c r="D24" i="1"/>
  <c r="D21" i="1"/>
  <c r="D17" i="1" l="1"/>
  <c r="K32" i="2" l="1"/>
  <c r="J32" i="2"/>
  <c r="I32" i="2"/>
  <c r="H32" i="2"/>
  <c r="G32" i="2"/>
  <c r="F32" i="2"/>
  <c r="E32" i="2"/>
  <c r="D32" i="2"/>
  <c r="K31" i="2"/>
  <c r="J31" i="2"/>
  <c r="I31" i="2"/>
  <c r="H31" i="2"/>
  <c r="G31" i="2"/>
  <c r="F31" i="2"/>
  <c r="E31" i="2"/>
  <c r="D31" i="2"/>
  <c r="K30" i="2"/>
  <c r="J30" i="2"/>
  <c r="I30" i="2"/>
  <c r="H30" i="2"/>
  <c r="G30" i="2"/>
  <c r="F30" i="2"/>
  <c r="E30" i="2"/>
  <c r="D30" i="2"/>
  <c r="K29" i="2"/>
  <c r="J29" i="2"/>
  <c r="I29" i="2"/>
  <c r="H29" i="2"/>
  <c r="G29" i="2"/>
  <c r="F29" i="2"/>
  <c r="E29" i="2"/>
  <c r="D29" i="2"/>
  <c r="K28" i="2"/>
  <c r="J28" i="2"/>
  <c r="I28" i="2"/>
  <c r="H28" i="2"/>
  <c r="G28" i="2"/>
  <c r="F28" i="2"/>
  <c r="E28" i="2"/>
  <c r="D28" i="2"/>
  <c r="K27" i="2"/>
  <c r="J27" i="2"/>
  <c r="I27" i="2"/>
  <c r="H27" i="2"/>
  <c r="G27" i="2"/>
  <c r="F27" i="2"/>
  <c r="E27" i="2"/>
  <c r="D27" i="2"/>
  <c r="K26" i="2"/>
  <c r="J26" i="2"/>
  <c r="I26" i="2"/>
  <c r="H26" i="2"/>
  <c r="G26" i="2"/>
  <c r="F26" i="2"/>
  <c r="E26" i="2"/>
  <c r="D26" i="2"/>
  <c r="K25" i="2"/>
  <c r="J25" i="2"/>
  <c r="I25" i="2"/>
  <c r="H25" i="2"/>
  <c r="G25" i="2"/>
  <c r="F25" i="2"/>
  <c r="E25" i="2"/>
  <c r="D25" i="2"/>
  <c r="K17" i="2"/>
  <c r="J17" i="2"/>
  <c r="I17" i="2"/>
  <c r="H17" i="2"/>
  <c r="G17" i="2"/>
  <c r="F17" i="2"/>
  <c r="E17" i="2"/>
  <c r="D17" i="2"/>
  <c r="K16" i="2"/>
  <c r="K18" i="2" s="1"/>
  <c r="G16" i="2"/>
  <c r="D30" i="1"/>
  <c r="E30" i="1"/>
  <c r="F30" i="1"/>
  <c r="G30" i="1"/>
  <c r="H30" i="1"/>
  <c r="I30" i="1"/>
  <c r="J30" i="1"/>
  <c r="K30" i="1"/>
  <c r="D31" i="1"/>
  <c r="E31" i="1"/>
  <c r="F31" i="1"/>
  <c r="G31" i="1"/>
  <c r="H31" i="1"/>
  <c r="I31" i="1"/>
  <c r="J31" i="1"/>
  <c r="K31" i="1"/>
  <c r="D32" i="1"/>
  <c r="E32" i="1"/>
  <c r="F32" i="1"/>
  <c r="G32" i="1"/>
  <c r="H32" i="1"/>
  <c r="I32" i="1"/>
  <c r="J32" i="1"/>
  <c r="K32" i="1"/>
  <c r="E29" i="1"/>
  <c r="F29" i="1"/>
  <c r="G29" i="1"/>
  <c r="H29" i="1"/>
  <c r="I29" i="1"/>
  <c r="J29" i="1"/>
  <c r="K29" i="1"/>
  <c r="D29" i="1"/>
  <c r="E17" i="1"/>
  <c r="F17" i="1"/>
  <c r="G17" i="1"/>
  <c r="H17" i="1"/>
  <c r="I17" i="1"/>
  <c r="J17" i="1"/>
  <c r="K17" i="1"/>
  <c r="F25" i="1"/>
  <c r="I26" i="1"/>
  <c r="J26" i="1"/>
  <c r="K26" i="1"/>
  <c r="F27" i="1"/>
  <c r="H27" i="1"/>
  <c r="I27" i="1"/>
  <c r="J27" i="1"/>
  <c r="K27" i="1"/>
  <c r="E28" i="1"/>
  <c r="F28" i="1"/>
  <c r="G28" i="1"/>
  <c r="H28" i="1"/>
  <c r="I28" i="1"/>
  <c r="J28" i="1"/>
  <c r="K28" i="1"/>
  <c r="D28" i="1"/>
  <c r="D26" i="1"/>
  <c r="E26" i="1"/>
  <c r="F26" i="1"/>
  <c r="G26" i="1"/>
  <c r="H26" i="1"/>
  <c r="D27" i="1"/>
  <c r="E27" i="1"/>
  <c r="G27" i="1"/>
  <c r="E25" i="1"/>
  <c r="G25" i="1"/>
  <c r="H25" i="1"/>
  <c r="I25" i="1"/>
  <c r="J25" i="1"/>
  <c r="K25" i="1"/>
  <c r="D25" i="1"/>
  <c r="G18" i="2" l="1"/>
  <c r="H16" i="2"/>
  <c r="H18" i="2" s="1"/>
  <c r="K16" i="1"/>
  <c r="K18" i="1" s="1"/>
  <c r="D16" i="2"/>
  <c r="D18" i="2" s="1"/>
  <c r="I16" i="1"/>
  <c r="I18" i="1" s="1"/>
  <c r="I16" i="2"/>
  <c r="I18" i="2" s="1"/>
  <c r="E16" i="2"/>
  <c r="E18" i="2" s="1"/>
  <c r="F16" i="2"/>
  <c r="F18" i="2" s="1"/>
  <c r="J16" i="2"/>
  <c r="J18" i="2" s="1"/>
  <c r="E16" i="1"/>
  <c r="E18" i="1" s="1"/>
  <c r="F16" i="1"/>
  <c r="F18" i="1" s="1"/>
  <c r="D16" i="1"/>
  <c r="D18" i="1" s="1"/>
  <c r="J16" i="1"/>
  <c r="J18" i="1" s="1"/>
  <c r="H16" i="1"/>
  <c r="H18" i="1" s="1"/>
  <c r="G16" i="1"/>
  <c r="G18" i="1" s="1"/>
</calcChain>
</file>

<file path=xl/sharedStrings.xml><?xml version="1.0" encoding="utf-8"?>
<sst xmlns="http://schemas.openxmlformats.org/spreadsheetml/2006/main" count="209" uniqueCount="42">
  <si>
    <t>Équipe 1</t>
  </si>
  <si>
    <t>Équipe 2</t>
  </si>
  <si>
    <t>Équipe 3</t>
  </si>
  <si>
    <t>Équipe 4</t>
  </si>
  <si>
    <t>Équipe 5</t>
  </si>
  <si>
    <t>Équipe 6</t>
  </si>
  <si>
    <t>Équipe 7</t>
  </si>
  <si>
    <t>Équipe 8</t>
  </si>
  <si>
    <t>Coalitions</t>
  </si>
  <si>
    <t xml:space="preserve"> </t>
  </si>
  <si>
    <t>Économies (kNOK)</t>
  </si>
  <si>
    <t>C1</t>
  </si>
  <si>
    <t>C2</t>
  </si>
  <si>
    <t>C3</t>
  </si>
  <si>
    <t>C4</t>
  </si>
  <si>
    <t>Total</t>
  </si>
  <si>
    <t>Économies (%)</t>
  </si>
  <si>
    <t>Coût (kNOK)</t>
  </si>
  <si>
    <t>(somme des coûts individuels)</t>
  </si>
  <si>
    <t>C1 + C2</t>
  </si>
  <si>
    <t>C1 + C3</t>
  </si>
  <si>
    <t>C1 + C4</t>
  </si>
  <si>
    <t>C1+C2+C3</t>
  </si>
  <si>
    <t>C1+C2+C3+C4</t>
  </si>
  <si>
    <t>C1+C2+C4</t>
  </si>
  <si>
    <t>C1+C3+C4</t>
  </si>
  <si>
    <t>C2 + C3</t>
  </si>
  <si>
    <t>C2 + C4</t>
  </si>
  <si>
    <t>C2+C3+C4</t>
  </si>
  <si>
    <t>C3 + C4</t>
  </si>
  <si>
    <t>Total2</t>
  </si>
  <si>
    <t>Partie A</t>
  </si>
  <si>
    <t>Partie B</t>
  </si>
  <si>
    <t>#1</t>
  </si>
  <si>
    <t>#2</t>
  </si>
  <si>
    <t>#3</t>
  </si>
  <si>
    <t>#4</t>
  </si>
  <si>
    <t>Compagnies</t>
  </si>
  <si>
    <t>Coût (kNOK) (collaboration)</t>
  </si>
  <si>
    <t>Bonification (%)</t>
  </si>
  <si>
    <t>Coalition (unsorted)</t>
  </si>
  <si>
    <t>Coalition (sorted)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</si>
</sst>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1" xfId="0" applyFont="1" applyBorder="1"/>
    <xf numFmtId="0" fontId="0" fillId="3" borderId="1" xfId="0" applyFill="1" applyBorder="1"/>
    <xf numFmtId="0" fontId="0" fillId="0" borderId="4" xfId="0" applyBorder="1"/>
    <xf numFmtId="0" fontId="3" fillId="0" borderId="0" xfId="0" applyFont="1" applyFill="1" applyBorder="1" applyAlignment="1">
      <alignment horizontal="right"/>
    </xf>
    <xf numFmtId="0" fontId="2" fillId="0" borderId="0" xfId="0" applyFont="1"/>
    <xf numFmtId="0" fontId="0" fillId="3" borderId="2" xfId="0" applyFill="1" applyBorder="1"/>
    <xf numFmtId="0" fontId="2" fillId="0" borderId="11" xfId="0" applyFont="1" applyBorder="1"/>
    <xf numFmtId="0" fontId="0" fillId="3" borderId="3" xfId="0" applyFill="1" applyBorder="1"/>
    <xf numFmtId="0" fontId="0" fillId="0" borderId="7" xfId="0" applyBorder="1"/>
    <xf numFmtId="0" fontId="2" fillId="0" borderId="24" xfId="0" applyFont="1" applyBorder="1"/>
    <xf numFmtId="0" fontId="2" fillId="0" borderId="4" xfId="0" applyFont="1" applyBorder="1"/>
    <xf numFmtId="0" fontId="3" fillId="4" borderId="6" xfId="0" applyFont="1" applyFill="1" applyBorder="1" applyAlignment="1">
      <alignment horizontal="right"/>
    </xf>
    <xf numFmtId="0" fontId="3" fillId="4" borderId="26" xfId="0" applyFont="1" applyFill="1" applyBorder="1" applyAlignment="1">
      <alignment horizontal="right"/>
    </xf>
    <xf numFmtId="0" fontId="3" fillId="4" borderId="25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4" borderId="0" xfId="0" applyFont="1" applyFill="1" applyBorder="1" applyAlignment="1">
      <alignment horizontal="right"/>
    </xf>
    <xf numFmtId="0" fontId="0" fillId="0" borderId="0" xfId="0" applyFont="1" applyBorder="1"/>
    <xf numFmtId="0" fontId="0" fillId="0" borderId="12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30" xfId="0" applyFont="1" applyBorder="1"/>
    <xf numFmtId="0" fontId="0" fillId="0" borderId="31" xfId="0" applyFont="1" applyBorder="1"/>
    <xf numFmtId="0" fontId="0" fillId="0" borderId="29" xfId="0" applyFont="1" applyBorder="1" applyAlignment="1">
      <alignment horizontal="center" vertical="center" wrapText="1"/>
    </xf>
    <xf numFmtId="0" fontId="0" fillId="0" borderId="32" xfId="0" applyFont="1" applyBorder="1"/>
    <xf numFmtId="0" fontId="0" fillId="0" borderId="28" xfId="0" applyFont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 wrapText="1"/>
    </xf>
    <xf numFmtId="0" fontId="0" fillId="0" borderId="33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13" xfId="0" applyFill="1" applyBorder="1" applyProtection="1">
      <protection locked="0"/>
    </xf>
    <xf numFmtId="0" fontId="0" fillId="0" borderId="14" xfId="0" applyFill="1" applyBorder="1" applyProtection="1">
      <protection locked="0"/>
    </xf>
    <xf numFmtId="0" fontId="0" fillId="0" borderId="15" xfId="0" applyFill="1" applyBorder="1" applyProtection="1">
      <protection locked="0"/>
    </xf>
    <xf numFmtId="0" fontId="0" fillId="0" borderId="16" xfId="0" applyFill="1" applyBorder="1" applyProtection="1">
      <protection locked="0"/>
    </xf>
    <xf numFmtId="0" fontId="0" fillId="0" borderId="12" xfId="0" applyFill="1" applyBorder="1" applyProtection="1">
      <protection locked="0"/>
    </xf>
    <xf numFmtId="0" fontId="0" fillId="0" borderId="17" xfId="0" applyFill="1" applyBorder="1" applyProtection="1">
      <protection locked="0"/>
    </xf>
    <xf numFmtId="0" fontId="0" fillId="0" borderId="18" xfId="0" applyFill="1" applyBorder="1" applyProtection="1">
      <protection locked="0"/>
    </xf>
    <xf numFmtId="0" fontId="0" fillId="0" borderId="19" xfId="0" applyFill="1" applyBorder="1" applyProtection="1">
      <protection locked="0"/>
    </xf>
    <xf numFmtId="0" fontId="0" fillId="0" borderId="20" xfId="0" applyFill="1" applyBorder="1" applyProtection="1">
      <protection locked="0"/>
    </xf>
    <xf numFmtId="0" fontId="4" fillId="0" borderId="0" xfId="0" applyFont="1" applyFill="1" applyBorder="1" applyAlignment="1">
      <alignment horizontal="right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2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2" fontId="0" fillId="2" borderId="13" xfId="0" applyNumberFormat="1" applyFill="1" applyBorder="1"/>
    <xf numFmtId="2" fontId="0" fillId="2" borderId="14" xfId="0" applyNumberFormat="1" applyFill="1" applyBorder="1"/>
    <xf numFmtId="2" fontId="0" fillId="2" borderId="15" xfId="0" applyNumberFormat="1" applyFill="1" applyBorder="1"/>
    <xf numFmtId="2" fontId="0" fillId="2" borderId="16" xfId="0" applyNumberFormat="1" applyFill="1" applyBorder="1"/>
    <xf numFmtId="2" fontId="0" fillId="2" borderId="12" xfId="0" applyNumberFormat="1" applyFill="1" applyBorder="1"/>
    <xf numFmtId="2" fontId="0" fillId="2" borderId="17" xfId="0" applyNumberFormat="1" applyFill="1" applyBorder="1"/>
    <xf numFmtId="2" fontId="0" fillId="2" borderId="18" xfId="0" applyNumberFormat="1" applyFill="1" applyBorder="1"/>
    <xf numFmtId="2" fontId="0" fillId="2" borderId="19" xfId="0" applyNumberFormat="1" applyFill="1" applyBorder="1"/>
    <xf numFmtId="2" fontId="0" fillId="2" borderId="20" xfId="0" applyNumberFormat="1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1" xfId="0" applyFill="1" applyBorder="1"/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2" fontId="0" fillId="2" borderId="41" xfId="0" applyNumberFormat="1" applyFill="1" applyBorder="1"/>
    <xf numFmtId="2" fontId="0" fillId="2" borderId="30" xfId="0" applyNumberFormat="1" applyFill="1" applyBorder="1"/>
    <xf numFmtId="2" fontId="0" fillId="2" borderId="31" xfId="0" applyNumberFormat="1" applyFill="1" applyBorder="1"/>
    <xf numFmtId="0" fontId="3" fillId="4" borderId="4" xfId="0" applyFont="1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0" fontId="0" fillId="0" borderId="42" xfId="0" applyFill="1" applyBorder="1" applyProtection="1">
      <protection locked="0"/>
    </xf>
    <xf numFmtId="0" fontId="0" fillId="0" borderId="43" xfId="0" applyFill="1" applyBorder="1" applyProtection="1">
      <protection locked="0"/>
    </xf>
    <xf numFmtId="0" fontId="0" fillId="0" borderId="44" xfId="0" applyFill="1" applyBorder="1" applyProtection="1">
      <protection locked="0"/>
    </xf>
    <xf numFmtId="0" fontId="0" fillId="0" borderId="41" xfId="0" applyFill="1" applyBorder="1" applyProtection="1">
      <protection locked="0"/>
    </xf>
    <xf numFmtId="0" fontId="0" fillId="0" borderId="30" xfId="0" applyFill="1" applyBorder="1" applyProtection="1">
      <protection locked="0"/>
    </xf>
    <xf numFmtId="0" fontId="0" fillId="0" borderId="31" xfId="0" applyFill="1" applyBorder="1" applyProtection="1">
      <protection locked="0"/>
    </xf>
    <xf numFmtId="0" fontId="1" fillId="4" borderId="8" xfId="0" applyFont="1" applyFill="1" applyBorder="1" applyAlignment="1">
      <alignment horizontal="right" vertical="center" textRotation="90"/>
    </xf>
    <xf numFmtId="0" fontId="1" fillId="4" borderId="9" xfId="0" applyFont="1" applyFill="1" applyBorder="1" applyAlignment="1">
      <alignment horizontal="right" vertical="center" textRotation="90"/>
    </xf>
    <xf numFmtId="0" fontId="1" fillId="4" borderId="10" xfId="0" applyFont="1" applyFill="1" applyBorder="1" applyAlignment="1">
      <alignment horizontal="right" vertical="center" textRotation="90"/>
    </xf>
    <xf numFmtId="0" fontId="5" fillId="3" borderId="4" xfId="0" applyFont="1" applyFill="1" applyBorder="1" applyAlignment="1">
      <alignment horizontal="center" vertical="center" textRotation="90"/>
    </xf>
    <xf numFmtId="0" fontId="5" fillId="3" borderId="0" xfId="0" applyFon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horizontal="center" vertical="center" textRotation="90"/>
    </xf>
    <xf numFmtId="0" fontId="5" fillId="4" borderId="2" xfId="0" applyFont="1" applyFill="1" applyBorder="1" applyAlignment="1">
      <alignment horizontal="center" vertical="center" textRotation="90"/>
    </xf>
    <xf numFmtId="0" fontId="5" fillId="4" borderId="3" xfId="0" applyFont="1" applyFill="1" applyBorder="1" applyAlignment="1">
      <alignment horizontal="center" vertical="center" textRotation="90"/>
    </xf>
    <xf numFmtId="0" fontId="3" fillId="4" borderId="11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5" fillId="3" borderId="5" xfId="0" applyFont="1" applyFill="1" applyBorder="1" applyAlignment="1">
      <alignment horizontal="center" vertical="center" textRotation="90"/>
    </xf>
    <xf numFmtId="0" fontId="0" fillId="0" borderId="33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9" xfId="0" applyFont="1" applyBorder="1" applyAlignment="1">
      <alignment horizontal="center" vertical="center" wrapText="1"/>
    </xf>
    <xf numFmtId="0" fontId="0" fillId="0" borderId="4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fr-CA"/>
              <a:t>Économies</a:t>
            </a:r>
            <a:r>
              <a:rPr lang="fr-CA" baseline="0"/>
              <a:t> des compagnies</a:t>
            </a:r>
            <a:endParaRPr lang="fr-CA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'Partie A'!$C$29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val>
            <c:numRef>
              <c:f>'Partie A'!$D$29:$K$29</c:f>
              <c:numCache>
                <c:formatCode>0.00</c:formatCode>
                <c:ptCount val="8"/>
                <c:pt idx="0">
                  <c:v>1.5873015873015872</c:v>
                </c:pt>
                <c:pt idx="1">
                  <c:v>1.0582010582010581</c:v>
                </c:pt>
                <c:pt idx="2">
                  <c:v>2.6455026455026456</c:v>
                </c:pt>
                <c:pt idx="3">
                  <c:v>0</c:v>
                </c:pt>
                <c:pt idx="4">
                  <c:v>2.7380952380952381</c:v>
                </c:pt>
                <c:pt idx="5">
                  <c:v>2.9100529100529098</c:v>
                </c:pt>
                <c:pt idx="6">
                  <c:v>3.0423280423280423</c:v>
                </c:pt>
                <c:pt idx="7">
                  <c:v>2.8306878306878307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1-4C69-A4D8-EF3A2430F171}"/>
            </c:ext>
          </c:extLst>
        </c:ser>
        <c:ser>
          <c:idx val="1"/>
          <c:order val="1"/>
          <c:tx>
            <c:strRef>
              <c:f>'Partie A'!$C$30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val>
            <c:numRef>
              <c:f>'Partie A'!$D$30:$K$30</c:f>
              <c:numCache>
                <c:formatCode>0.00</c:formatCode>
                <c:ptCount val="8"/>
                <c:pt idx="0">
                  <c:v>3.9367429340511442</c:v>
                </c:pt>
                <c:pt idx="1">
                  <c:v>2.0188425302826376</c:v>
                </c:pt>
                <c:pt idx="2">
                  <c:v>3.9973082099596233</c:v>
                </c:pt>
                <c:pt idx="3">
                  <c:v>3.6641991924629878</c:v>
                </c:pt>
                <c:pt idx="4">
                  <c:v>3.9973082099596233</c:v>
                </c:pt>
                <c:pt idx="5">
                  <c:v>3.8021534320323012</c:v>
                </c:pt>
                <c:pt idx="6">
                  <c:v>4.1386271870794076</c:v>
                </c:pt>
                <c:pt idx="7">
                  <c:v>3.7550471063257067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1-4C69-A4D8-EF3A2430F171}"/>
            </c:ext>
          </c:extLst>
        </c:ser>
        <c:ser>
          <c:idx val="2"/>
          <c:order val="2"/>
          <c:tx>
            <c:strRef>
              <c:f>'Partie A'!$C$31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val>
            <c:numRef>
              <c:f>'Partie A'!$D$31:$K$31</c:f>
              <c:numCache>
                <c:formatCode>0.00</c:formatCode>
                <c:ptCount val="8"/>
                <c:pt idx="0">
                  <c:v>0.58027079303675055</c:v>
                </c:pt>
                <c:pt idx="1">
                  <c:v>0</c:v>
                </c:pt>
                <c:pt idx="2">
                  <c:v>3.8297872340425529</c:v>
                </c:pt>
                <c:pt idx="3">
                  <c:v>4.3085106382978724</c:v>
                </c:pt>
                <c:pt idx="4">
                  <c:v>3.8297872340425529</c:v>
                </c:pt>
                <c:pt idx="5">
                  <c:v>4.1102514506769827</c:v>
                </c:pt>
                <c:pt idx="6">
                  <c:v>3.6266924564796903</c:v>
                </c:pt>
                <c:pt idx="7">
                  <c:v>4.1682785299806575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A1-4C69-A4D8-EF3A2430F171}"/>
            </c:ext>
          </c:extLst>
        </c:ser>
        <c:ser>
          <c:idx val="3"/>
          <c:order val="3"/>
          <c:tx>
            <c:strRef>
              <c:f>'Partie A'!$C$32</c:f>
              <c:strCache>
                <c:ptCount val="1"/>
                <c:pt idx="0">
                  <c:v>C4</c:v>
                </c:pt>
              </c:strCache>
            </c:strRef>
          </c:tx>
          <c:invertIfNegative val="0"/>
          <c:val>
            <c:numRef>
              <c:f>'Partie A'!$D$32:$K$32</c:f>
              <c:numCache>
                <c:formatCode>0.00</c:formatCode>
                <c:ptCount val="8"/>
                <c:pt idx="0">
                  <c:v>3.931451612903226</c:v>
                </c:pt>
                <c:pt idx="1">
                  <c:v>0</c:v>
                </c:pt>
                <c:pt idx="2">
                  <c:v>2.620967741935484</c:v>
                </c:pt>
                <c:pt idx="3">
                  <c:v>0</c:v>
                </c:pt>
                <c:pt idx="4">
                  <c:v>2.5504032258064515</c:v>
                </c:pt>
                <c:pt idx="5">
                  <c:v>2.4193548387096775</c:v>
                </c:pt>
                <c:pt idx="6">
                  <c:v>2.318548387096774</c:v>
                </c:pt>
                <c:pt idx="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A1-4C69-A4D8-EF3A2430F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559168"/>
        <c:axId val="343286144"/>
      </c:barChart>
      <c:catAx>
        <c:axId val="34155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fr-CA" sz="1400"/>
                  <a:t>Équipes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43286144"/>
        <c:crosses val="autoZero"/>
        <c:auto val="0"/>
        <c:lblAlgn val="ctr"/>
        <c:lblOffset val="100"/>
        <c:noMultiLvlLbl val="0"/>
      </c:catAx>
      <c:valAx>
        <c:axId val="343286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fr-CA" sz="1400"/>
                  <a:t>Économies (%)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341559168"/>
        <c:crosses val="autoZero"/>
        <c:crossBetween val="between"/>
      </c:valAx>
      <c:spPr>
        <a:effectLst>
          <a:softEdge rad="0"/>
        </a:effectLst>
      </c:spPr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fr-CA"/>
              <a:t>Économies</a:t>
            </a:r>
            <a:r>
              <a:rPr lang="fr-CA" baseline="0"/>
              <a:t> des compagnies</a:t>
            </a:r>
            <a:endParaRPr lang="fr-CA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'Partie B'!$C$29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val>
            <c:numRef>
              <c:f>'Partie B'!$D$29:$K$29</c:f>
              <c:numCache>
                <c:formatCode>0.00</c:formatCode>
                <c:ptCount val="8"/>
                <c:pt idx="0">
                  <c:v>4.8412698412698418</c:v>
                </c:pt>
                <c:pt idx="1">
                  <c:v>4.6825396825396828</c:v>
                </c:pt>
                <c:pt idx="2">
                  <c:v>5.5820105820105814</c:v>
                </c:pt>
                <c:pt idx="3">
                  <c:v>3.9682539682539679</c:v>
                </c:pt>
                <c:pt idx="4">
                  <c:v>8.4656084656084651</c:v>
                </c:pt>
                <c:pt idx="5">
                  <c:v>5.2910052910052912</c:v>
                </c:pt>
                <c:pt idx="6">
                  <c:v>0.13227513227513227</c:v>
                </c:pt>
                <c:pt idx="7">
                  <c:v>4.7619047619047619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8-4BDA-A406-59812AB3E2F2}"/>
            </c:ext>
          </c:extLst>
        </c:ser>
        <c:ser>
          <c:idx val="1"/>
          <c:order val="1"/>
          <c:tx>
            <c:strRef>
              <c:f>'Partie B'!$C$30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val>
            <c:numRef>
              <c:f>'Partie B'!$D$30:$K$30</c:f>
              <c:numCache>
                <c:formatCode>0.00</c:formatCode>
                <c:ptCount val="8"/>
                <c:pt idx="0">
                  <c:v>5.726783310901749</c:v>
                </c:pt>
                <c:pt idx="1">
                  <c:v>5.8411843876177656</c:v>
                </c:pt>
                <c:pt idx="2">
                  <c:v>5.7133243606998656</c:v>
                </c:pt>
                <c:pt idx="3">
                  <c:v>5.9892328398384924</c:v>
                </c:pt>
                <c:pt idx="4">
                  <c:v>4.5020188425302825</c:v>
                </c:pt>
                <c:pt idx="5">
                  <c:v>5.8142664872139971</c:v>
                </c:pt>
                <c:pt idx="6">
                  <c:v>5.3835800807537009</c:v>
                </c:pt>
                <c:pt idx="7">
                  <c:v>5.7335127860026915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C8-4BDA-A406-59812AB3E2F2}"/>
            </c:ext>
          </c:extLst>
        </c:ser>
        <c:ser>
          <c:idx val="2"/>
          <c:order val="2"/>
          <c:tx>
            <c:strRef>
              <c:f>'Partie B'!$C$31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val>
            <c:numRef>
              <c:f>'Partie B'!$D$31:$K$31</c:f>
              <c:numCache>
                <c:formatCode>0.00</c:formatCode>
                <c:ptCount val="8"/>
                <c:pt idx="0">
                  <c:v>6.3346228239845264</c:v>
                </c:pt>
                <c:pt idx="1">
                  <c:v>5.8607350096711803</c:v>
                </c:pt>
                <c:pt idx="2">
                  <c:v>5.5899419729206965</c:v>
                </c:pt>
                <c:pt idx="3">
                  <c:v>5.7059961315280461</c:v>
                </c:pt>
                <c:pt idx="4">
                  <c:v>5.5319148936170208</c:v>
                </c:pt>
                <c:pt idx="5">
                  <c:v>5.5705996131528046</c:v>
                </c:pt>
                <c:pt idx="6">
                  <c:v>6.3442940038684723</c:v>
                </c:pt>
                <c:pt idx="7">
                  <c:v>6.3442940038684723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C8-4BDA-A406-59812AB3E2F2}"/>
            </c:ext>
          </c:extLst>
        </c:ser>
        <c:ser>
          <c:idx val="3"/>
          <c:order val="3"/>
          <c:tx>
            <c:strRef>
              <c:f>'Partie B'!$C$32</c:f>
              <c:strCache>
                <c:ptCount val="1"/>
                <c:pt idx="0">
                  <c:v>C4</c:v>
                </c:pt>
              </c:strCache>
            </c:strRef>
          </c:tx>
          <c:invertIfNegative val="0"/>
          <c:val>
            <c:numRef>
              <c:f>'Partie B'!$D$32:$K$32</c:f>
              <c:numCache>
                <c:formatCode>0.00</c:formatCode>
                <c:ptCount val="8"/>
                <c:pt idx="0">
                  <c:v>5.060483870967742</c:v>
                </c:pt>
                <c:pt idx="1">
                  <c:v>5.8266129032258061</c:v>
                </c:pt>
                <c:pt idx="2">
                  <c:v>6.088709677419355</c:v>
                </c:pt>
                <c:pt idx="3">
                  <c:v>6.25</c:v>
                </c:pt>
                <c:pt idx="4">
                  <c:v>7.6411290322580649</c:v>
                </c:pt>
                <c:pt idx="5">
                  <c:v>6.0483870967741939</c:v>
                </c:pt>
                <c:pt idx="6">
                  <c:v>6.028225806451613</c:v>
                </c:pt>
                <c:pt idx="7">
                  <c:v>5.0806451612903221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C8-4BDA-A406-59812AB3E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718016"/>
        <c:axId val="347720320"/>
      </c:barChart>
      <c:catAx>
        <c:axId val="347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fr-CA" sz="1400"/>
                  <a:t>Équipes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47720320"/>
        <c:crosses val="autoZero"/>
        <c:auto val="0"/>
        <c:lblAlgn val="ctr"/>
        <c:lblOffset val="100"/>
        <c:noMultiLvlLbl val="0"/>
      </c:catAx>
      <c:valAx>
        <c:axId val="3477203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fr-CA" sz="1400"/>
                  <a:t>Économies (%)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347718016"/>
        <c:crosses val="autoZero"/>
        <c:crossBetween val="between"/>
      </c:valAx>
      <c:spPr>
        <a:effectLst>
          <a:softEdge rad="0"/>
        </a:effectLst>
      </c:spPr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forac.ulaval.ca" TargetMode="Externa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forac.ulaval.ca" TargetMode="Externa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orac.ulaval.c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12</xdr:row>
      <xdr:rowOff>76200</xdr:rowOff>
    </xdr:from>
    <xdr:to>
      <xdr:col>18</xdr:col>
      <xdr:colOff>523876</xdr:colOff>
      <xdr:row>31</xdr:row>
      <xdr:rowOff>190500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oneCell">
    <xdr:from>
      <xdr:col>9</xdr:col>
      <xdr:colOff>581025</xdr:colOff>
      <xdr:row>0</xdr:row>
      <xdr:rowOff>66676</xdr:rowOff>
    </xdr:from>
    <xdr:to>
      <xdr:col>10</xdr:col>
      <xdr:colOff>819150</xdr:colOff>
      <xdr:row>1</xdr:row>
      <xdr:rowOff>33316</xdr:rowOff>
    </xdr:to>
    <xdr:pic>
      <xdr:nvPicPr>
        <xdr:cNvPr id="2" name="Picture 1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650" y="66676"/>
          <a:ext cx="1066800" cy="233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342898</xdr:colOff>
      <xdr:row>12</xdr:row>
      <xdr:rowOff>85725</xdr:rowOff>
    </xdr:from>
    <xdr:to>
      <xdr:col>18</xdr:col>
      <xdr:colOff>514349</xdr:colOff>
      <xdr:row>32</xdr:row>
      <xdr:rowOff>0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oneCell">
    <xdr:from>
      <xdr:col>9</xdr:col>
      <xdr:colOff>581025</xdr:colOff>
      <xdr:row>0</xdr:row>
      <xdr:rowOff>66675</xdr:rowOff>
    </xdr:from>
    <xdr:to>
      <xdr:col>10</xdr:col>
      <xdr:colOff>819150</xdr:colOff>
      <xdr:row>1</xdr:row>
      <xdr:rowOff>33315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650" y="66675"/>
          <a:ext cx="1066800" cy="2333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18</xdr:row>
      <xdr:rowOff>76200</xdr:rowOff>
    </xdr:from>
    <xdr:to>
      <xdr:col>4</xdr:col>
      <xdr:colOff>1152525</xdr:colOff>
      <xdr:row>19</xdr:row>
      <xdr:rowOff>119040</xdr:rowOff>
    </xdr:to>
    <xdr:pic>
      <xdr:nvPicPr>
        <xdr:cNvPr id="4" name="Picture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3790950"/>
          <a:ext cx="1066800" cy="23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showGridLines="0" tabSelected="1" workbookViewId="0"/>
  </sheetViews>
  <sheetFormatPr defaultColWidth="11.42578125" defaultRowHeight="15" x14ac:dyDescent="0.25"/>
  <cols>
    <col min="1" max="2" width="4.42578125" customWidth="1"/>
    <col min="3" max="3" width="3" customWidth="1"/>
    <col min="4" max="11" width="12.42578125" customWidth="1"/>
  </cols>
  <sheetData>
    <row r="1" spans="1:11" ht="21" x14ac:dyDescent="0.35">
      <c r="A1" s="5" t="s">
        <v>31</v>
      </c>
      <c r="B1" s="5"/>
    </row>
    <row r="2" spans="1:11" ht="15.75" thickBot="1" x14ac:dyDescent="0.3"/>
    <row r="3" spans="1:11" ht="21.75" thickBot="1" x14ac:dyDescent="0.4">
      <c r="A3" s="7"/>
      <c r="B3" s="10"/>
      <c r="C3" s="9"/>
      <c r="D3" s="65" t="s">
        <v>0</v>
      </c>
      <c r="E3" s="65" t="s">
        <v>1</v>
      </c>
      <c r="F3" s="65" t="s">
        <v>2</v>
      </c>
      <c r="G3" s="65" t="s">
        <v>3</v>
      </c>
      <c r="H3" s="65" t="s">
        <v>4</v>
      </c>
      <c r="I3" s="65" t="s">
        <v>5</v>
      </c>
      <c r="J3" s="65" t="s">
        <v>6</v>
      </c>
      <c r="K3" s="66" t="s">
        <v>7</v>
      </c>
    </row>
    <row r="4" spans="1:11" ht="15" customHeight="1" x14ac:dyDescent="0.25">
      <c r="A4" s="2"/>
      <c r="B4" s="84" t="s">
        <v>8</v>
      </c>
      <c r="C4" s="15" t="s">
        <v>33</v>
      </c>
      <c r="D4" s="34" t="s">
        <v>27</v>
      </c>
      <c r="E4" s="35" t="s">
        <v>19</v>
      </c>
      <c r="F4" s="35" t="s">
        <v>26</v>
      </c>
      <c r="G4" s="35" t="s">
        <v>26</v>
      </c>
      <c r="H4" s="35" t="s">
        <v>26</v>
      </c>
      <c r="I4" s="35" t="s">
        <v>26</v>
      </c>
      <c r="J4" s="35" t="s">
        <v>21</v>
      </c>
      <c r="K4" s="36" t="s">
        <v>21</v>
      </c>
    </row>
    <row r="5" spans="1:11" x14ac:dyDescent="0.25">
      <c r="A5" s="6"/>
      <c r="B5" s="85"/>
      <c r="C5" s="15" t="s">
        <v>34</v>
      </c>
      <c r="D5" s="37" t="s">
        <v>20</v>
      </c>
      <c r="E5" s="38" t="s">
        <v>13</v>
      </c>
      <c r="F5" s="38" t="s">
        <v>21</v>
      </c>
      <c r="G5" s="38" t="s">
        <v>11</v>
      </c>
      <c r="H5" s="38" t="s">
        <v>21</v>
      </c>
      <c r="I5" s="38" t="s">
        <v>21</v>
      </c>
      <c r="J5" s="38" t="s">
        <v>26</v>
      </c>
      <c r="K5" s="39" t="s">
        <v>26</v>
      </c>
    </row>
    <row r="6" spans="1:11" x14ac:dyDescent="0.25">
      <c r="A6" s="6"/>
      <c r="B6" s="85"/>
      <c r="C6" s="15" t="s">
        <v>35</v>
      </c>
      <c r="D6" s="37" t="s">
        <v>9</v>
      </c>
      <c r="E6" s="38" t="s">
        <v>14</v>
      </c>
      <c r="F6" s="38" t="s">
        <v>9</v>
      </c>
      <c r="G6" s="38" t="s">
        <v>14</v>
      </c>
      <c r="H6" s="38" t="s">
        <v>9</v>
      </c>
      <c r="I6" s="38" t="s">
        <v>9</v>
      </c>
      <c r="J6" s="38" t="s">
        <v>9</v>
      </c>
      <c r="K6" s="39" t="s">
        <v>9</v>
      </c>
    </row>
    <row r="7" spans="1:11" ht="15.75" thickBot="1" x14ac:dyDescent="0.3">
      <c r="A7" s="8"/>
      <c r="B7" s="85"/>
      <c r="C7" s="15" t="s">
        <v>36</v>
      </c>
      <c r="D7" s="75" t="s">
        <v>9</v>
      </c>
      <c r="E7" s="76" t="s">
        <v>9</v>
      </c>
      <c r="F7" s="76" t="s">
        <v>9</v>
      </c>
      <c r="G7" s="76" t="s">
        <v>9</v>
      </c>
      <c r="H7" s="76" t="s">
        <v>9</v>
      </c>
      <c r="I7" s="76" t="s">
        <v>9</v>
      </c>
      <c r="J7" s="76" t="s">
        <v>9</v>
      </c>
      <c r="K7" s="77" t="s">
        <v>9</v>
      </c>
    </row>
    <row r="8" spans="1:11" ht="15" customHeight="1" x14ac:dyDescent="0.25">
      <c r="A8" s="81" t="s">
        <v>10</v>
      </c>
      <c r="B8" s="86" t="s">
        <v>8</v>
      </c>
      <c r="C8" s="73" t="s">
        <v>33</v>
      </c>
      <c r="D8" s="44">
        <f>VLOOKUP(IF(ISBLANK(D4)," ",D4),Valeurs!$A$3:$D$18,4,FALSE)</f>
        <v>780</v>
      </c>
      <c r="E8" s="45">
        <f>VLOOKUP(IF(ISBLANK(E4)," ",E4),Valeurs!$A$3:$D$18,4,FALSE)</f>
        <v>340</v>
      </c>
      <c r="F8" s="45">
        <f>VLOOKUP(IF(ISBLANK(F4)," ",F4),Valeurs!$A$3:$D$18,4,FALSE)</f>
        <v>990</v>
      </c>
      <c r="G8" s="45">
        <f>VLOOKUP(IF(ISBLANK(G4)," ",G4),Valeurs!$A$3:$D$18,4,FALSE)</f>
        <v>990</v>
      </c>
      <c r="H8" s="45">
        <f>VLOOKUP(IF(ISBLANK(H4)," ",H4),Valeurs!$A$3:$D$18,4,FALSE)</f>
        <v>990</v>
      </c>
      <c r="I8" s="45">
        <f>VLOOKUP(IF(ISBLANK(I4)," ",I4),Valeurs!$A$3:$D$18,4,FALSE)</f>
        <v>990</v>
      </c>
      <c r="J8" s="45">
        <f>VLOOKUP(IF(ISBLANK(J4)," ",J4),Valeurs!$A$3:$D$18,4,FALSE)</f>
        <v>230</v>
      </c>
      <c r="K8" s="46">
        <f>VLOOKUP(IF(ISBLANK(K4)," ",K4),Valeurs!$A$3:$D$18,4,FALSE)</f>
        <v>230</v>
      </c>
    </row>
    <row r="9" spans="1:11" x14ac:dyDescent="0.25">
      <c r="A9" s="82"/>
      <c r="B9" s="87"/>
      <c r="C9" s="16" t="s">
        <v>34</v>
      </c>
      <c r="D9" s="47">
        <f>VLOOKUP(IF(ISBLANK(D5)," ",D5),Valeurs!$A$3:$D$18,4,FALSE)</f>
        <v>120</v>
      </c>
      <c r="E9" s="48">
        <f>VLOOKUP(IF(ISBLANK(E5)," ",E5),Valeurs!$A$3:$D$18,4,FALSE)</f>
        <v>0</v>
      </c>
      <c r="F9" s="48">
        <f>VLOOKUP(IF(ISBLANK(F5)," ",F5),Valeurs!$A$3:$D$18,4,FALSE)</f>
        <v>230</v>
      </c>
      <c r="G9" s="48">
        <f>VLOOKUP(IF(ISBLANK(G5)," ",G5),Valeurs!$A$3:$D$18,4,FALSE)</f>
        <v>0</v>
      </c>
      <c r="H9" s="48">
        <f>VLOOKUP(IF(ISBLANK(H5)," ",H5),Valeurs!$A$3:$D$18,4,FALSE)</f>
        <v>230</v>
      </c>
      <c r="I9" s="48">
        <f>VLOOKUP(IF(ISBLANK(I5)," ",I5),Valeurs!$A$3:$D$18,4,FALSE)</f>
        <v>230</v>
      </c>
      <c r="J9" s="48">
        <f>VLOOKUP(IF(ISBLANK(J5)," ",J5),Valeurs!$A$3:$D$18,4,FALSE)</f>
        <v>990</v>
      </c>
      <c r="K9" s="49">
        <f>VLOOKUP(IF(ISBLANK(K5)," ",K5),Valeurs!$A$3:$D$18,4,FALSE)</f>
        <v>990</v>
      </c>
    </row>
    <row r="10" spans="1:11" x14ac:dyDescent="0.25">
      <c r="A10" s="82"/>
      <c r="B10" s="87"/>
      <c r="C10" s="16" t="s">
        <v>35</v>
      </c>
      <c r="D10" s="47" t="str">
        <f>VLOOKUP(IF(ISBLANK(D6)," ",D6),Valeurs!$A$3:$D$18,4,FALSE)</f>
        <v xml:space="preserve"> </v>
      </c>
      <c r="E10" s="48">
        <f>VLOOKUP(IF(ISBLANK(E6)," ",E6),Valeurs!$A$3:$D$18,4,FALSE)</f>
        <v>0</v>
      </c>
      <c r="F10" s="48" t="str">
        <f>VLOOKUP(IF(ISBLANK(F6)," ",F6),Valeurs!$A$3:$D$18,4,FALSE)</f>
        <v xml:space="preserve"> </v>
      </c>
      <c r="G10" s="48">
        <f>VLOOKUP(IF(ISBLANK(G6)," ",G6),Valeurs!$A$3:$D$18,4,FALSE)</f>
        <v>0</v>
      </c>
      <c r="H10" s="48" t="str">
        <f>VLOOKUP(IF(ISBLANK(H6)," ",H6),Valeurs!$A$3:$D$18,4,FALSE)</f>
        <v xml:space="preserve"> </v>
      </c>
      <c r="I10" s="48" t="str">
        <f>VLOOKUP(IF(ISBLANK(I6)," ",I6),Valeurs!$A$3:$D$18,4,FALSE)</f>
        <v xml:space="preserve"> </v>
      </c>
      <c r="J10" s="48" t="str">
        <f>VLOOKUP(IF(ISBLANK(J6)," ",J6),Valeurs!$A$3:$D$18,4,FALSE)</f>
        <v xml:space="preserve"> </v>
      </c>
      <c r="K10" s="49" t="str">
        <f>VLOOKUP(IF(ISBLANK(K6)," ",K6),Valeurs!$A$3:$D$18,4,FALSE)</f>
        <v xml:space="preserve"> </v>
      </c>
    </row>
    <row r="11" spans="1:11" ht="15.75" thickBot="1" x14ac:dyDescent="0.3">
      <c r="A11" s="82"/>
      <c r="B11" s="88"/>
      <c r="C11" s="74" t="s">
        <v>36</v>
      </c>
      <c r="D11" s="50" t="str">
        <f>VLOOKUP(IF(ISBLANK(D7)," ",D7),Valeurs!$A$3:$D$18,4,FALSE)</f>
        <v xml:space="preserve"> </v>
      </c>
      <c r="E11" s="51" t="str">
        <f>VLOOKUP(IF(ISBLANK(E7)," ",E7),Valeurs!$A$3:$D$18,4,FALSE)</f>
        <v xml:space="preserve"> </v>
      </c>
      <c r="F11" s="51" t="str">
        <f>VLOOKUP(IF(ISBLANK(F7)," ",F7),Valeurs!$A$3:$D$18,4,FALSE)</f>
        <v xml:space="preserve"> </v>
      </c>
      <c r="G11" s="51" t="str">
        <f>VLOOKUP(IF(ISBLANK(G7)," ",G7),Valeurs!$A$3:$D$18,4,FALSE)</f>
        <v xml:space="preserve"> </v>
      </c>
      <c r="H11" s="51" t="str">
        <f>VLOOKUP(IF(ISBLANK(H7)," ",H7),Valeurs!$A$3:$D$18,4,FALSE)</f>
        <v xml:space="preserve"> </v>
      </c>
      <c r="I11" s="51" t="str">
        <f>VLOOKUP(IF(ISBLANK(I7)," ",I7),Valeurs!$A$3:$D$18,4,FALSE)</f>
        <v xml:space="preserve"> </v>
      </c>
      <c r="J11" s="51" t="str">
        <f>VLOOKUP(IF(ISBLANK(J7)," ",J7),Valeurs!$A$3:$D$18,4,FALSE)</f>
        <v xml:space="preserve"> </v>
      </c>
      <c r="K11" s="52" t="str">
        <f>VLOOKUP(IF(ISBLANK(K7)," ",K7),Valeurs!$A$3:$D$18,4,FALSE)</f>
        <v xml:space="preserve"> </v>
      </c>
    </row>
    <row r="12" spans="1:11" x14ac:dyDescent="0.25">
      <c r="A12" s="82"/>
      <c r="B12" s="86" t="s">
        <v>37</v>
      </c>
      <c r="C12" s="12" t="s">
        <v>11</v>
      </c>
      <c r="D12" s="78">
        <v>60</v>
      </c>
      <c r="E12" s="79">
        <v>40</v>
      </c>
      <c r="F12" s="79">
        <v>100</v>
      </c>
      <c r="G12" s="79"/>
      <c r="H12" s="79">
        <v>103.5</v>
      </c>
      <c r="I12" s="79">
        <v>110</v>
      </c>
      <c r="J12" s="79">
        <v>115</v>
      </c>
      <c r="K12" s="80">
        <v>107</v>
      </c>
    </row>
    <row r="13" spans="1:11" x14ac:dyDescent="0.25">
      <c r="A13" s="82"/>
      <c r="B13" s="87"/>
      <c r="C13" s="13" t="s">
        <v>12</v>
      </c>
      <c r="D13" s="37">
        <v>585</v>
      </c>
      <c r="E13" s="38">
        <v>300</v>
      </c>
      <c r="F13" s="38">
        <v>594</v>
      </c>
      <c r="G13" s="38">
        <v>544.5</v>
      </c>
      <c r="H13" s="38">
        <v>594</v>
      </c>
      <c r="I13" s="38">
        <v>565</v>
      </c>
      <c r="J13" s="38">
        <v>615</v>
      </c>
      <c r="K13" s="39">
        <v>558</v>
      </c>
    </row>
    <row r="14" spans="1:11" x14ac:dyDescent="0.25">
      <c r="A14" s="82"/>
      <c r="B14" s="87"/>
      <c r="C14" s="13" t="s">
        <v>13</v>
      </c>
      <c r="D14" s="37">
        <v>60</v>
      </c>
      <c r="E14" s="38"/>
      <c r="F14" s="38">
        <v>396</v>
      </c>
      <c r="G14" s="38">
        <v>445.5</v>
      </c>
      <c r="H14" s="38">
        <v>396</v>
      </c>
      <c r="I14" s="38">
        <v>425</v>
      </c>
      <c r="J14" s="38">
        <v>375</v>
      </c>
      <c r="K14" s="39">
        <v>431</v>
      </c>
    </row>
    <row r="15" spans="1:11" ht="15.75" thickBot="1" x14ac:dyDescent="0.3">
      <c r="A15" s="82"/>
      <c r="B15" s="88"/>
      <c r="C15" s="14" t="s">
        <v>14</v>
      </c>
      <c r="D15" s="40">
        <v>195</v>
      </c>
      <c r="E15" s="41"/>
      <c r="F15" s="41">
        <v>130</v>
      </c>
      <c r="G15" s="41">
        <v>0</v>
      </c>
      <c r="H15" s="41">
        <v>126.5</v>
      </c>
      <c r="I15" s="41">
        <v>120</v>
      </c>
      <c r="J15" s="41">
        <v>115</v>
      </c>
      <c r="K15" s="42">
        <v>124</v>
      </c>
    </row>
    <row r="16" spans="1:11" ht="15.75" thickBot="1" x14ac:dyDescent="0.3">
      <c r="A16" s="83"/>
      <c r="B16" s="89" t="s">
        <v>15</v>
      </c>
      <c r="C16" s="90"/>
      <c r="D16" s="62">
        <f t="shared" ref="D16:K16" si="0">SUM(D8:D11)</f>
        <v>900</v>
      </c>
      <c r="E16" s="63">
        <f t="shared" si="0"/>
        <v>340</v>
      </c>
      <c r="F16" s="63">
        <f t="shared" si="0"/>
        <v>1220</v>
      </c>
      <c r="G16" s="63">
        <f t="shared" si="0"/>
        <v>990</v>
      </c>
      <c r="H16" s="63">
        <f t="shared" si="0"/>
        <v>1220</v>
      </c>
      <c r="I16" s="63">
        <f t="shared" si="0"/>
        <v>1220</v>
      </c>
      <c r="J16" s="63">
        <f t="shared" si="0"/>
        <v>1220</v>
      </c>
      <c r="K16" s="64">
        <f t="shared" si="0"/>
        <v>1220</v>
      </c>
    </row>
    <row r="17" spans="1:11" x14ac:dyDescent="0.25">
      <c r="C17" s="4" t="s">
        <v>30</v>
      </c>
      <c r="D17">
        <f>SUM(D12:D15)</f>
        <v>900</v>
      </c>
      <c r="E17">
        <f t="shared" ref="E17:K17" si="1">SUM(E12:E15)</f>
        <v>340</v>
      </c>
      <c r="F17">
        <f t="shared" si="1"/>
        <v>1220</v>
      </c>
      <c r="G17">
        <f t="shared" si="1"/>
        <v>990</v>
      </c>
      <c r="H17">
        <f t="shared" si="1"/>
        <v>1220</v>
      </c>
      <c r="I17">
        <f t="shared" si="1"/>
        <v>1220</v>
      </c>
      <c r="J17">
        <f t="shared" si="1"/>
        <v>1220</v>
      </c>
      <c r="K17">
        <f t="shared" si="1"/>
        <v>1220</v>
      </c>
    </row>
    <row r="18" spans="1:11" x14ac:dyDescent="0.25">
      <c r="D18" s="43">
        <f>ABS(D16-D17)</f>
        <v>0</v>
      </c>
      <c r="E18" s="43">
        <f t="shared" ref="E18:K18" si="2">ABS(E16-E17)</f>
        <v>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0</v>
      </c>
    </row>
    <row r="19" spans="1:11" ht="15.75" thickBot="1" x14ac:dyDescent="0.3"/>
    <row r="20" spans="1:11" ht="21.75" thickBot="1" x14ac:dyDescent="0.4">
      <c r="A20" s="1"/>
      <c r="B20" s="11"/>
      <c r="C20" s="3"/>
      <c r="D20" s="67" t="s">
        <v>0</v>
      </c>
      <c r="E20" s="65" t="s">
        <v>1</v>
      </c>
      <c r="F20" s="65" t="s">
        <v>2</v>
      </c>
      <c r="G20" s="65" t="s">
        <v>3</v>
      </c>
      <c r="H20" s="65" t="s">
        <v>4</v>
      </c>
      <c r="I20" s="65" t="s">
        <v>5</v>
      </c>
      <c r="J20" s="65" t="s">
        <v>6</v>
      </c>
      <c r="K20" s="66" t="s">
        <v>7</v>
      </c>
    </row>
    <row r="21" spans="1:11" ht="15" customHeight="1" x14ac:dyDescent="0.25">
      <c r="A21" s="2"/>
      <c r="B21" s="84" t="s">
        <v>8</v>
      </c>
      <c r="C21" s="68" t="s">
        <v>33</v>
      </c>
      <c r="D21" s="44" t="str">
        <f>IF(ISBLANK(D4)," ",D4)</f>
        <v>C2 + C4</v>
      </c>
      <c r="E21" s="45" t="str">
        <f t="shared" ref="E21:K21" si="3">IF(ISBLANK(E4)," ",E4)</f>
        <v>C1 + C2</v>
      </c>
      <c r="F21" s="45" t="str">
        <f t="shared" si="3"/>
        <v>C2 + C3</v>
      </c>
      <c r="G21" s="45" t="str">
        <f t="shared" si="3"/>
        <v>C2 + C3</v>
      </c>
      <c r="H21" s="45" t="str">
        <f t="shared" si="3"/>
        <v>C2 + C3</v>
      </c>
      <c r="I21" s="45" t="str">
        <f t="shared" si="3"/>
        <v>C2 + C3</v>
      </c>
      <c r="J21" s="45" t="str">
        <f t="shared" si="3"/>
        <v>C1 + C4</v>
      </c>
      <c r="K21" s="46" t="str">
        <f t="shared" si="3"/>
        <v>C1 + C4</v>
      </c>
    </row>
    <row r="22" spans="1:11" x14ac:dyDescent="0.25">
      <c r="A22" s="6"/>
      <c r="B22" s="85"/>
      <c r="C22" s="15" t="s">
        <v>34</v>
      </c>
      <c r="D22" s="47" t="str">
        <f t="shared" ref="D22:K24" si="4">IF(ISBLANK(D5)," ",D5)</f>
        <v>C1 + C3</v>
      </c>
      <c r="E22" s="48" t="str">
        <f t="shared" si="4"/>
        <v>C3</v>
      </c>
      <c r="F22" s="48" t="str">
        <f t="shared" si="4"/>
        <v>C1 + C4</v>
      </c>
      <c r="G22" s="48" t="str">
        <f t="shared" si="4"/>
        <v>C1</v>
      </c>
      <c r="H22" s="48" t="str">
        <f t="shared" si="4"/>
        <v>C1 + C4</v>
      </c>
      <c r="I22" s="48" t="str">
        <f t="shared" si="4"/>
        <v>C1 + C4</v>
      </c>
      <c r="J22" s="48" t="str">
        <f t="shared" si="4"/>
        <v>C2 + C3</v>
      </c>
      <c r="K22" s="49" t="str">
        <f t="shared" si="4"/>
        <v>C2 + C3</v>
      </c>
    </row>
    <row r="23" spans="1:11" x14ac:dyDescent="0.25">
      <c r="A23" s="6"/>
      <c r="B23" s="85"/>
      <c r="C23" s="15" t="s">
        <v>35</v>
      </c>
      <c r="D23" s="47" t="str">
        <f t="shared" si="4"/>
        <v xml:space="preserve"> </v>
      </c>
      <c r="E23" s="48" t="str">
        <f t="shared" si="4"/>
        <v>C4</v>
      </c>
      <c r="F23" s="48" t="str">
        <f t="shared" si="4"/>
        <v xml:space="preserve"> </v>
      </c>
      <c r="G23" s="48" t="str">
        <f t="shared" si="4"/>
        <v>C4</v>
      </c>
      <c r="H23" s="48" t="str">
        <f t="shared" si="4"/>
        <v xml:space="preserve"> </v>
      </c>
      <c r="I23" s="48" t="str">
        <f t="shared" si="4"/>
        <v xml:space="preserve"> </v>
      </c>
      <c r="J23" s="48" t="str">
        <f t="shared" si="4"/>
        <v xml:space="preserve"> </v>
      </c>
      <c r="K23" s="49" t="str">
        <f t="shared" si="4"/>
        <v xml:space="preserve"> </v>
      </c>
    </row>
    <row r="24" spans="1:11" ht="15.75" thickBot="1" x14ac:dyDescent="0.3">
      <c r="A24" s="8"/>
      <c r="B24" s="91"/>
      <c r="C24" s="69" t="s">
        <v>36</v>
      </c>
      <c r="D24" s="50" t="str">
        <f t="shared" si="4"/>
        <v xml:space="preserve"> </v>
      </c>
      <c r="E24" s="51" t="str">
        <f t="shared" si="4"/>
        <v xml:space="preserve"> </v>
      </c>
      <c r="F24" s="51" t="str">
        <f t="shared" si="4"/>
        <v xml:space="preserve"> </v>
      </c>
      <c r="G24" s="51" t="str">
        <f t="shared" si="4"/>
        <v xml:space="preserve"> </v>
      </c>
      <c r="H24" s="51" t="str">
        <f t="shared" si="4"/>
        <v xml:space="preserve"> </v>
      </c>
      <c r="I24" s="51" t="str">
        <f t="shared" si="4"/>
        <v xml:space="preserve"> </v>
      </c>
      <c r="J24" s="51" t="str">
        <f t="shared" si="4"/>
        <v xml:space="preserve"> </v>
      </c>
      <c r="K24" s="52" t="str">
        <f t="shared" si="4"/>
        <v xml:space="preserve"> </v>
      </c>
    </row>
    <row r="25" spans="1:11" ht="15" customHeight="1" x14ac:dyDescent="0.25">
      <c r="A25" s="82" t="s">
        <v>16</v>
      </c>
      <c r="B25" s="87" t="s">
        <v>8</v>
      </c>
      <c r="C25" s="16" t="s">
        <v>33</v>
      </c>
      <c r="D25" s="70">
        <f>VLOOKUP(D21,Valeurs!$A$3:$E$18,5,FALSE)</f>
        <v>3.94</v>
      </c>
      <c r="E25" s="71">
        <f>VLOOKUP(E21,Valeurs!$A$3:$E$18,5,FALSE)</f>
        <v>1.82</v>
      </c>
      <c r="F25" s="71">
        <f>VLOOKUP(F21,Valeurs!$A$3:$E$18,5,FALSE)</f>
        <v>3.93</v>
      </c>
      <c r="G25" s="71">
        <f>VLOOKUP(G21,Valeurs!$A$3:$E$18,5,FALSE)</f>
        <v>3.93</v>
      </c>
      <c r="H25" s="71">
        <f>VLOOKUP(H21,Valeurs!$A$3:$E$18,5,FALSE)</f>
        <v>3.93</v>
      </c>
      <c r="I25" s="71">
        <f>VLOOKUP(I21,Valeurs!$A$3:$E$18,5,FALSE)</f>
        <v>3.93</v>
      </c>
      <c r="J25" s="71">
        <f>VLOOKUP(J21,Valeurs!$A$3:$E$18,5,FALSE)</f>
        <v>2.63</v>
      </c>
      <c r="K25" s="72">
        <f>VLOOKUP(K21,Valeurs!$A$3:$E$18,5,FALSE)</f>
        <v>2.63</v>
      </c>
    </row>
    <row r="26" spans="1:11" x14ac:dyDescent="0.25">
      <c r="A26" s="82"/>
      <c r="B26" s="87"/>
      <c r="C26" s="16" t="s">
        <v>34</v>
      </c>
      <c r="D26" s="56">
        <f>VLOOKUP(D22,Valeurs!$A$3:$E$18,5,FALSE)</f>
        <v>0.85</v>
      </c>
      <c r="E26" s="57">
        <f>VLOOKUP(E22,Valeurs!$A$3:$E$18,5,FALSE)</f>
        <v>0</v>
      </c>
      <c r="F26" s="57">
        <f>VLOOKUP(F22,Valeurs!$A$3:$E$18,5,FALSE)</f>
        <v>2.63</v>
      </c>
      <c r="G26" s="57">
        <f>VLOOKUP(G22,Valeurs!$A$3:$E$18,5,FALSE)</f>
        <v>0</v>
      </c>
      <c r="H26" s="57">
        <f>VLOOKUP(H22,Valeurs!$A$3:$E$18,5,FALSE)</f>
        <v>2.63</v>
      </c>
      <c r="I26" s="57">
        <f>VLOOKUP(I22,Valeurs!$A$3:$E$18,5,FALSE)</f>
        <v>2.63</v>
      </c>
      <c r="J26" s="57">
        <f>VLOOKUP(J22,Valeurs!$A$3:$E$18,5,FALSE)</f>
        <v>3.93</v>
      </c>
      <c r="K26" s="58">
        <f>VLOOKUP(K22,Valeurs!$A$3:$E$18,5,FALSE)</f>
        <v>3.93</v>
      </c>
    </row>
    <row r="27" spans="1:11" x14ac:dyDescent="0.25">
      <c r="A27" s="82"/>
      <c r="B27" s="87"/>
      <c r="C27" s="16" t="s">
        <v>35</v>
      </c>
      <c r="D27" s="56" t="str">
        <f>VLOOKUP(D23,Valeurs!$A$3:$E$18,5,FALSE)</f>
        <v xml:space="preserve"> </v>
      </c>
      <c r="E27" s="57">
        <f>VLOOKUP(E23,Valeurs!$A$3:$E$18,5,FALSE)</f>
        <v>0</v>
      </c>
      <c r="F27" s="57" t="str">
        <f>VLOOKUP(F23,Valeurs!$A$3:$E$18,5,FALSE)</f>
        <v xml:space="preserve"> </v>
      </c>
      <c r="G27" s="57">
        <f>VLOOKUP(G23,Valeurs!$A$3:$E$18,5,FALSE)</f>
        <v>0</v>
      </c>
      <c r="H27" s="57" t="str">
        <f>VLOOKUP(H23,Valeurs!$A$3:$E$18,5,FALSE)</f>
        <v xml:space="preserve"> </v>
      </c>
      <c r="I27" s="57" t="str">
        <f>VLOOKUP(I23,Valeurs!$A$3:$E$18,5,FALSE)</f>
        <v xml:space="preserve"> </v>
      </c>
      <c r="J27" s="57" t="str">
        <f>VLOOKUP(J23,Valeurs!$A$3:$E$18,5,FALSE)</f>
        <v xml:space="preserve"> </v>
      </c>
      <c r="K27" s="58" t="str">
        <f>VLOOKUP(K23,Valeurs!$A$3:$E$18,5,FALSE)</f>
        <v xml:space="preserve"> </v>
      </c>
    </row>
    <row r="28" spans="1:11" ht="15.75" thickBot="1" x14ac:dyDescent="0.3">
      <c r="A28" s="82"/>
      <c r="B28" s="87"/>
      <c r="C28" s="16" t="s">
        <v>36</v>
      </c>
      <c r="D28" s="59" t="str">
        <f>VLOOKUP(D24,Valeurs!$A$3:$E$18,5,FALSE)</f>
        <v xml:space="preserve"> </v>
      </c>
      <c r="E28" s="60" t="str">
        <f>VLOOKUP(E24,Valeurs!$A$3:$E$18,5,FALSE)</f>
        <v xml:space="preserve"> </v>
      </c>
      <c r="F28" s="60" t="str">
        <f>VLOOKUP(F24,Valeurs!$A$3:$E$18,5,FALSE)</f>
        <v xml:space="preserve"> </v>
      </c>
      <c r="G28" s="60" t="str">
        <f>VLOOKUP(G24,Valeurs!$A$3:$E$18,5,FALSE)</f>
        <v xml:space="preserve"> </v>
      </c>
      <c r="H28" s="60" t="str">
        <f>VLOOKUP(H24,Valeurs!$A$3:$E$18,5,FALSE)</f>
        <v xml:space="preserve"> </v>
      </c>
      <c r="I28" s="60" t="str">
        <f>VLOOKUP(I24,Valeurs!$A$3:$E$18,5,FALSE)</f>
        <v xml:space="preserve"> </v>
      </c>
      <c r="J28" s="60" t="str">
        <f>VLOOKUP(J24,Valeurs!$A$3:$E$18,5,FALSE)</f>
        <v xml:space="preserve"> </v>
      </c>
      <c r="K28" s="61" t="str">
        <f>VLOOKUP(K24,Valeurs!$A$3:$E$18,5,FALSE)</f>
        <v xml:space="preserve"> </v>
      </c>
    </row>
    <row r="29" spans="1:11" x14ac:dyDescent="0.25">
      <c r="A29" s="82"/>
      <c r="B29" s="86" t="s">
        <v>37</v>
      </c>
      <c r="C29" s="12" t="s">
        <v>11</v>
      </c>
      <c r="D29" s="53">
        <f>D12/VLOOKUP($C29,Valeurs!$A$3:$D$18,3,FALSE)*100</f>
        <v>1.5873015873015872</v>
      </c>
      <c r="E29" s="54">
        <f>E12/VLOOKUP($C29,Valeurs!$A$3:$D$18,3,FALSE)*100</f>
        <v>1.0582010582010581</v>
      </c>
      <c r="F29" s="54">
        <f>F12/VLOOKUP($C29,Valeurs!$A$3:$D$18,3,FALSE)*100</f>
        <v>2.6455026455026456</v>
      </c>
      <c r="G29" s="54">
        <f>G12/VLOOKUP($C29,Valeurs!$A$3:$D$18,3,FALSE)*100</f>
        <v>0</v>
      </c>
      <c r="H29" s="54">
        <f>H12/VLOOKUP($C29,Valeurs!$A$3:$D$18,3,FALSE)*100</f>
        <v>2.7380952380952381</v>
      </c>
      <c r="I29" s="54">
        <f>I12/VLOOKUP($C29,Valeurs!$A$3:$D$18,3,FALSE)*100</f>
        <v>2.9100529100529098</v>
      </c>
      <c r="J29" s="54">
        <f>J12/VLOOKUP($C29,Valeurs!$A$3:$D$18,3,FALSE)*100</f>
        <v>3.0423280423280423</v>
      </c>
      <c r="K29" s="55">
        <f>K12/VLOOKUP($C29,Valeurs!$A$3:$D$18,3,FALSE)*100</f>
        <v>2.8306878306878307</v>
      </c>
    </row>
    <row r="30" spans="1:11" x14ac:dyDescent="0.25">
      <c r="A30" s="82"/>
      <c r="B30" s="87"/>
      <c r="C30" s="13" t="s">
        <v>12</v>
      </c>
      <c r="D30" s="56">
        <f>D13/VLOOKUP($C30,Valeurs!$A$3:$D$18,3,FALSE)*100</f>
        <v>3.9367429340511442</v>
      </c>
      <c r="E30" s="57">
        <f>E13/VLOOKUP($C30,Valeurs!$A$3:$D$18,3,FALSE)*100</f>
        <v>2.0188425302826376</v>
      </c>
      <c r="F30" s="57">
        <f>F13/VLOOKUP($C30,Valeurs!$A$3:$D$18,3,FALSE)*100</f>
        <v>3.9973082099596233</v>
      </c>
      <c r="G30" s="57">
        <f>G13/VLOOKUP($C30,Valeurs!$A$3:$D$18,3,FALSE)*100</f>
        <v>3.6641991924629878</v>
      </c>
      <c r="H30" s="57">
        <f>H13/VLOOKUP($C30,Valeurs!$A$3:$D$18,3,FALSE)*100</f>
        <v>3.9973082099596233</v>
      </c>
      <c r="I30" s="57">
        <f>I13/VLOOKUP($C30,Valeurs!$A$3:$D$18,3,FALSE)*100</f>
        <v>3.8021534320323012</v>
      </c>
      <c r="J30" s="57">
        <f>J13/VLOOKUP($C30,Valeurs!$A$3:$D$18,3,FALSE)*100</f>
        <v>4.1386271870794076</v>
      </c>
      <c r="K30" s="58">
        <f>K13/VLOOKUP($C30,Valeurs!$A$3:$D$18,3,FALSE)*100</f>
        <v>3.7550471063257067</v>
      </c>
    </row>
    <row r="31" spans="1:11" x14ac:dyDescent="0.25">
      <c r="A31" s="82"/>
      <c r="B31" s="87"/>
      <c r="C31" s="13" t="s">
        <v>13</v>
      </c>
      <c r="D31" s="56">
        <f>D14/VLOOKUP($C31,Valeurs!$A$3:$D$18,3,FALSE)*100</f>
        <v>0.58027079303675055</v>
      </c>
      <c r="E31" s="57">
        <f>E14/VLOOKUP($C31,Valeurs!$A$3:$D$18,3,FALSE)*100</f>
        <v>0</v>
      </c>
      <c r="F31" s="57">
        <f>F14/VLOOKUP($C31,Valeurs!$A$3:$D$18,3,FALSE)*100</f>
        <v>3.8297872340425529</v>
      </c>
      <c r="G31" s="57">
        <f>G14/VLOOKUP($C31,Valeurs!$A$3:$D$18,3,FALSE)*100</f>
        <v>4.3085106382978724</v>
      </c>
      <c r="H31" s="57">
        <f>H14/VLOOKUP($C31,Valeurs!$A$3:$D$18,3,FALSE)*100</f>
        <v>3.8297872340425529</v>
      </c>
      <c r="I31" s="57">
        <f>I14/VLOOKUP($C31,Valeurs!$A$3:$D$18,3,FALSE)*100</f>
        <v>4.1102514506769827</v>
      </c>
      <c r="J31" s="57">
        <f>J14/VLOOKUP($C31,Valeurs!$A$3:$D$18,3,FALSE)*100</f>
        <v>3.6266924564796903</v>
      </c>
      <c r="K31" s="58">
        <f>K14/VLOOKUP($C31,Valeurs!$A$3:$D$18,3,FALSE)*100</f>
        <v>4.1682785299806575</v>
      </c>
    </row>
    <row r="32" spans="1:11" ht="15.75" thickBot="1" x14ac:dyDescent="0.3">
      <c r="A32" s="83"/>
      <c r="B32" s="88"/>
      <c r="C32" s="14" t="s">
        <v>14</v>
      </c>
      <c r="D32" s="59">
        <f>D15/VLOOKUP($C32,Valeurs!$A$3:$D$18,3,FALSE)*100</f>
        <v>3.931451612903226</v>
      </c>
      <c r="E32" s="60">
        <f>E15/VLOOKUP($C32,Valeurs!$A$3:$D$18,3,FALSE)*100</f>
        <v>0</v>
      </c>
      <c r="F32" s="60">
        <f>F15/VLOOKUP($C32,Valeurs!$A$3:$D$18,3,FALSE)*100</f>
        <v>2.620967741935484</v>
      </c>
      <c r="G32" s="60">
        <f>G15/VLOOKUP($C32,Valeurs!$A$3:$D$18,3,FALSE)*100</f>
        <v>0</v>
      </c>
      <c r="H32" s="60">
        <f>H15/VLOOKUP($C32,Valeurs!$A$3:$D$18,3,FALSE)*100</f>
        <v>2.5504032258064515</v>
      </c>
      <c r="I32" s="60">
        <f>I15/VLOOKUP($C32,Valeurs!$A$3:$D$18,3,FALSE)*100</f>
        <v>2.4193548387096775</v>
      </c>
      <c r="J32" s="60">
        <f>J15/VLOOKUP($C32,Valeurs!$A$3:$D$18,3,FALSE)*100</f>
        <v>2.318548387096774</v>
      </c>
      <c r="K32" s="61">
        <f>K15/VLOOKUP($C32,Valeurs!$A$3:$D$18,3,FALSE)*100</f>
        <v>2.5</v>
      </c>
    </row>
  </sheetData>
  <sheetProtection selectLockedCells="1"/>
  <mergeCells count="9">
    <mergeCell ref="A8:A16"/>
    <mergeCell ref="A25:A32"/>
    <mergeCell ref="B4:B7"/>
    <mergeCell ref="B8:B11"/>
    <mergeCell ref="B12:B15"/>
    <mergeCell ref="B16:C16"/>
    <mergeCell ref="B21:B24"/>
    <mergeCell ref="B25:B28"/>
    <mergeCell ref="B29:B32"/>
  </mergeCells>
  <conditionalFormatting sqref="D17:K17">
    <cfRule type="expression" dxfId="3" priority="1">
      <formula>D$18&gt;=1</formula>
    </cfRule>
    <cfRule type="expression" dxfId="2" priority="3">
      <formula>D$18&gt;0</formula>
    </cfRule>
  </conditionalFormatting>
  <dataValidations count="1">
    <dataValidation type="list" allowBlank="1" showInputMessage="1" showErrorMessage="1" sqref="D4:K7">
      <formula1>coalition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showGridLines="0" workbookViewId="0"/>
  </sheetViews>
  <sheetFormatPr defaultColWidth="11.42578125" defaultRowHeight="15" x14ac:dyDescent="0.25"/>
  <cols>
    <col min="1" max="2" width="4.42578125" customWidth="1"/>
    <col min="3" max="3" width="3" customWidth="1"/>
    <col min="4" max="11" width="12.42578125" customWidth="1"/>
  </cols>
  <sheetData>
    <row r="1" spans="1:11" ht="21" x14ac:dyDescent="0.35">
      <c r="A1" s="5" t="s">
        <v>32</v>
      </c>
      <c r="B1" s="5"/>
    </row>
    <row r="2" spans="1:11" ht="15.75" thickBot="1" x14ac:dyDescent="0.3"/>
    <row r="3" spans="1:11" ht="21.75" thickBot="1" x14ac:dyDescent="0.4">
      <c r="A3" s="7"/>
      <c r="B3" s="10"/>
      <c r="C3" s="9"/>
      <c r="D3" s="65" t="s">
        <v>0</v>
      </c>
      <c r="E3" s="65" t="s">
        <v>1</v>
      </c>
      <c r="F3" s="65" t="s">
        <v>2</v>
      </c>
      <c r="G3" s="65" t="s">
        <v>3</v>
      </c>
      <c r="H3" s="65" t="s">
        <v>4</v>
      </c>
      <c r="I3" s="65" t="s">
        <v>5</v>
      </c>
      <c r="J3" s="65" t="s">
        <v>6</v>
      </c>
      <c r="K3" s="66" t="s">
        <v>7</v>
      </c>
    </row>
    <row r="4" spans="1:11" x14ac:dyDescent="0.25">
      <c r="A4" s="2"/>
      <c r="B4" s="84" t="s">
        <v>8</v>
      </c>
      <c r="C4" s="15" t="s">
        <v>33</v>
      </c>
      <c r="D4" s="34" t="s">
        <v>23</v>
      </c>
      <c r="E4" s="35" t="s">
        <v>23</v>
      </c>
      <c r="F4" s="35" t="s">
        <v>23</v>
      </c>
      <c r="G4" s="35" t="s">
        <v>23</v>
      </c>
      <c r="H4" s="35" t="s">
        <v>23</v>
      </c>
      <c r="I4" s="35" t="s">
        <v>23</v>
      </c>
      <c r="J4" s="35" t="s">
        <v>11</v>
      </c>
      <c r="K4" s="36" t="s">
        <v>23</v>
      </c>
    </row>
    <row r="5" spans="1:11" x14ac:dyDescent="0.25">
      <c r="A5" s="6"/>
      <c r="B5" s="85"/>
      <c r="C5" s="15" t="s">
        <v>34</v>
      </c>
      <c r="D5" s="37" t="s">
        <v>9</v>
      </c>
      <c r="E5" s="38" t="s">
        <v>9</v>
      </c>
      <c r="F5" s="38" t="s">
        <v>9</v>
      </c>
      <c r="G5" s="38" t="s">
        <v>9</v>
      </c>
      <c r="H5" s="38" t="s">
        <v>9</v>
      </c>
      <c r="I5" s="38" t="s">
        <v>9</v>
      </c>
      <c r="J5" s="38" t="s">
        <v>28</v>
      </c>
      <c r="K5" s="39" t="s">
        <v>9</v>
      </c>
    </row>
    <row r="6" spans="1:11" x14ac:dyDescent="0.25">
      <c r="A6" s="6"/>
      <c r="B6" s="85"/>
      <c r="C6" s="15" t="s">
        <v>35</v>
      </c>
      <c r="D6" s="37" t="s">
        <v>9</v>
      </c>
      <c r="E6" s="38" t="s">
        <v>9</v>
      </c>
      <c r="F6" s="38" t="s">
        <v>9</v>
      </c>
      <c r="G6" s="38" t="s">
        <v>9</v>
      </c>
      <c r="H6" s="38" t="s">
        <v>9</v>
      </c>
      <c r="I6" s="38" t="s">
        <v>9</v>
      </c>
      <c r="J6" s="38" t="s">
        <v>9</v>
      </c>
      <c r="K6" s="39" t="s">
        <v>9</v>
      </c>
    </row>
    <row r="7" spans="1:11" ht="15.75" thickBot="1" x14ac:dyDescent="0.3">
      <c r="A7" s="8"/>
      <c r="B7" s="85"/>
      <c r="C7" s="15" t="s">
        <v>36</v>
      </c>
      <c r="D7" s="75" t="s">
        <v>9</v>
      </c>
      <c r="E7" s="76" t="s">
        <v>9</v>
      </c>
      <c r="F7" s="76" t="s">
        <v>9</v>
      </c>
      <c r="G7" s="76" t="s">
        <v>9</v>
      </c>
      <c r="H7" s="76" t="s">
        <v>9</v>
      </c>
      <c r="I7" s="76" t="s">
        <v>9</v>
      </c>
      <c r="J7" s="76" t="s">
        <v>9</v>
      </c>
      <c r="K7" s="77" t="s">
        <v>9</v>
      </c>
    </row>
    <row r="8" spans="1:11" x14ac:dyDescent="0.25">
      <c r="A8" s="81" t="s">
        <v>10</v>
      </c>
      <c r="B8" s="86" t="s">
        <v>8</v>
      </c>
      <c r="C8" s="73" t="s">
        <v>33</v>
      </c>
      <c r="D8" s="44">
        <f>VLOOKUP(IF(ISBLANK(D4)," ",D4),Valeurs!$A$3:$D$18,4,FALSE)</f>
        <v>1940</v>
      </c>
      <c r="E8" s="45">
        <f>VLOOKUP(IF(ISBLANK(E4)," ",E4),Valeurs!$A$3:$D$18,4,FALSE)</f>
        <v>1940</v>
      </c>
      <c r="F8" s="45">
        <f>VLOOKUP(IF(ISBLANK(F4)," ",F4),Valeurs!$A$3:$D$18,4,FALSE)</f>
        <v>1940</v>
      </c>
      <c r="G8" s="45">
        <f>VLOOKUP(IF(ISBLANK(G4)," ",G4),Valeurs!$A$3:$D$18,4,FALSE)</f>
        <v>1940</v>
      </c>
      <c r="H8" s="45">
        <f>VLOOKUP(IF(ISBLANK(H4)," ",H4),Valeurs!$A$3:$D$18,4,FALSE)</f>
        <v>1940</v>
      </c>
      <c r="I8" s="45">
        <f>VLOOKUP(IF(ISBLANK(I4)," ",I4),Valeurs!$A$3:$D$18,4,FALSE)</f>
        <v>1940</v>
      </c>
      <c r="J8" s="45">
        <f>VLOOKUP(IF(ISBLANK(J4)," ",J4),Valeurs!$A$3:$D$18,4,FALSE)</f>
        <v>0</v>
      </c>
      <c r="K8" s="46">
        <f>VLOOKUP(IF(ISBLANK(K4)," ",K4),Valeurs!$A$3:$D$18,4,FALSE)</f>
        <v>1940</v>
      </c>
    </row>
    <row r="9" spans="1:11" x14ac:dyDescent="0.25">
      <c r="A9" s="82"/>
      <c r="B9" s="87"/>
      <c r="C9" s="16" t="s">
        <v>34</v>
      </c>
      <c r="D9" s="47" t="str">
        <f>VLOOKUP(IF(ISBLANK(D5)," ",D5),Valeurs!$A$3:$D$18,4,FALSE)</f>
        <v xml:space="preserve"> </v>
      </c>
      <c r="E9" s="48" t="str">
        <f>VLOOKUP(IF(ISBLANK(E5)," ",E5),Valeurs!$A$3:$D$18,4,FALSE)</f>
        <v xml:space="preserve"> </v>
      </c>
      <c r="F9" s="48" t="str">
        <f>VLOOKUP(IF(ISBLANK(F5)," ",F5),Valeurs!$A$3:$D$18,4,FALSE)</f>
        <v xml:space="preserve"> </v>
      </c>
      <c r="G9" s="48" t="str">
        <f>VLOOKUP(IF(ISBLANK(G5)," ",G5),Valeurs!$A$3:$D$18,4,FALSE)</f>
        <v xml:space="preserve"> </v>
      </c>
      <c r="H9" s="48" t="str">
        <f>VLOOKUP(IF(ISBLANK(H5)," ",H5),Valeurs!$A$3:$D$18,4,FALSE)</f>
        <v xml:space="preserve"> </v>
      </c>
      <c r="I9" s="48" t="str">
        <f>VLOOKUP(IF(ISBLANK(I5)," ",I5),Valeurs!$A$3:$D$18,4,FALSE)</f>
        <v xml:space="preserve"> </v>
      </c>
      <c r="J9" s="48">
        <f>VLOOKUP(IF(ISBLANK(J5)," ",J5),Valeurs!$A$3:$D$18,4,FALSE)</f>
        <v>1760</v>
      </c>
      <c r="K9" s="49" t="str">
        <f>VLOOKUP(IF(ISBLANK(K5)," ",K5),Valeurs!$A$3:$D$18,4,FALSE)</f>
        <v xml:space="preserve"> </v>
      </c>
    </row>
    <row r="10" spans="1:11" x14ac:dyDescent="0.25">
      <c r="A10" s="82"/>
      <c r="B10" s="87"/>
      <c r="C10" s="16" t="s">
        <v>35</v>
      </c>
      <c r="D10" s="47" t="str">
        <f>VLOOKUP(IF(ISBLANK(D6)," ",D6),Valeurs!$A$3:$D$18,4,FALSE)</f>
        <v xml:space="preserve"> </v>
      </c>
      <c r="E10" s="48" t="str">
        <f>VLOOKUP(IF(ISBLANK(E6)," ",E6),Valeurs!$A$3:$D$18,4,FALSE)</f>
        <v xml:space="preserve"> </v>
      </c>
      <c r="F10" s="48" t="str">
        <f>VLOOKUP(IF(ISBLANK(F6)," ",F6),Valeurs!$A$3:$D$18,4,FALSE)</f>
        <v xml:space="preserve"> </v>
      </c>
      <c r="G10" s="48" t="str">
        <f>VLOOKUP(IF(ISBLANK(G6)," ",G6),Valeurs!$A$3:$D$18,4,FALSE)</f>
        <v xml:space="preserve"> </v>
      </c>
      <c r="H10" s="48" t="str">
        <f>VLOOKUP(IF(ISBLANK(H6)," ",H6),Valeurs!$A$3:$D$18,4,FALSE)</f>
        <v xml:space="preserve"> </v>
      </c>
      <c r="I10" s="48" t="str">
        <f>VLOOKUP(IF(ISBLANK(I6)," ",I6),Valeurs!$A$3:$D$18,4,FALSE)</f>
        <v xml:space="preserve"> </v>
      </c>
      <c r="J10" s="48" t="str">
        <f>VLOOKUP(IF(ISBLANK(J6)," ",J6),Valeurs!$A$3:$D$18,4,FALSE)</f>
        <v xml:space="preserve"> </v>
      </c>
      <c r="K10" s="49" t="str">
        <f>VLOOKUP(IF(ISBLANK(K6)," ",K6),Valeurs!$A$3:$D$18,4,FALSE)</f>
        <v xml:space="preserve"> </v>
      </c>
    </row>
    <row r="11" spans="1:11" ht="15.75" thickBot="1" x14ac:dyDescent="0.3">
      <c r="A11" s="82"/>
      <c r="B11" s="88"/>
      <c r="C11" s="74" t="s">
        <v>36</v>
      </c>
      <c r="D11" s="50" t="str">
        <f>VLOOKUP(IF(ISBLANK(D7)," ",D7),Valeurs!$A$3:$D$18,4,FALSE)</f>
        <v xml:space="preserve"> </v>
      </c>
      <c r="E11" s="51" t="str">
        <f>VLOOKUP(IF(ISBLANK(E7)," ",E7),Valeurs!$A$3:$D$18,4,FALSE)</f>
        <v xml:space="preserve"> </v>
      </c>
      <c r="F11" s="51" t="str">
        <f>VLOOKUP(IF(ISBLANK(F7)," ",F7),Valeurs!$A$3:$D$18,4,FALSE)</f>
        <v xml:space="preserve"> </v>
      </c>
      <c r="G11" s="51" t="str">
        <f>VLOOKUP(IF(ISBLANK(G7)," ",G7),Valeurs!$A$3:$D$18,4,FALSE)</f>
        <v xml:space="preserve"> </v>
      </c>
      <c r="H11" s="51" t="str">
        <f>VLOOKUP(IF(ISBLANK(H7)," ",H7),Valeurs!$A$3:$D$18,4,FALSE)</f>
        <v xml:space="preserve"> </v>
      </c>
      <c r="I11" s="51" t="str">
        <f>VLOOKUP(IF(ISBLANK(I7)," ",I7),Valeurs!$A$3:$D$18,4,FALSE)</f>
        <v xml:space="preserve"> </v>
      </c>
      <c r="J11" s="51" t="str">
        <f>VLOOKUP(IF(ISBLANK(J7)," ",J7),Valeurs!$A$3:$D$18,4,FALSE)</f>
        <v xml:space="preserve"> </v>
      </c>
      <c r="K11" s="52" t="str">
        <f>VLOOKUP(IF(ISBLANK(K7)," ",K7),Valeurs!$A$3:$D$18,4,FALSE)</f>
        <v xml:space="preserve"> </v>
      </c>
    </row>
    <row r="12" spans="1:11" x14ac:dyDescent="0.25">
      <c r="A12" s="82"/>
      <c r="B12" s="86" t="s">
        <v>37</v>
      </c>
      <c r="C12" s="12" t="s">
        <v>11</v>
      </c>
      <c r="D12" s="78">
        <v>183</v>
      </c>
      <c r="E12" s="79">
        <v>177</v>
      </c>
      <c r="F12" s="79">
        <v>211</v>
      </c>
      <c r="G12" s="79">
        <v>150</v>
      </c>
      <c r="H12" s="79">
        <v>320</v>
      </c>
      <c r="I12" s="79">
        <v>200</v>
      </c>
      <c r="J12" s="79">
        <v>5</v>
      </c>
      <c r="K12" s="80">
        <v>180</v>
      </c>
    </row>
    <row r="13" spans="1:11" x14ac:dyDescent="0.25">
      <c r="A13" s="82"/>
      <c r="B13" s="87"/>
      <c r="C13" s="13" t="s">
        <v>12</v>
      </c>
      <c r="D13" s="37">
        <v>851</v>
      </c>
      <c r="E13" s="38">
        <v>868</v>
      </c>
      <c r="F13" s="38">
        <v>849</v>
      </c>
      <c r="G13" s="38">
        <v>890</v>
      </c>
      <c r="H13" s="38">
        <v>669</v>
      </c>
      <c r="I13" s="38">
        <v>864</v>
      </c>
      <c r="J13" s="38">
        <v>800</v>
      </c>
      <c r="K13" s="39">
        <v>852</v>
      </c>
    </row>
    <row r="14" spans="1:11" x14ac:dyDescent="0.25">
      <c r="A14" s="82"/>
      <c r="B14" s="87"/>
      <c r="C14" s="13" t="s">
        <v>13</v>
      </c>
      <c r="D14" s="37">
        <v>655</v>
      </c>
      <c r="E14" s="38">
        <v>606</v>
      </c>
      <c r="F14" s="38">
        <v>578</v>
      </c>
      <c r="G14" s="38">
        <v>590</v>
      </c>
      <c r="H14" s="38">
        <v>572</v>
      </c>
      <c r="I14" s="38">
        <v>576</v>
      </c>
      <c r="J14" s="38">
        <v>656</v>
      </c>
      <c r="K14" s="39">
        <v>656</v>
      </c>
    </row>
    <row r="15" spans="1:11" ht="15.75" thickBot="1" x14ac:dyDescent="0.3">
      <c r="A15" s="82"/>
      <c r="B15" s="88"/>
      <c r="C15" s="14" t="s">
        <v>14</v>
      </c>
      <c r="D15" s="40">
        <v>251</v>
      </c>
      <c r="E15" s="41">
        <v>289</v>
      </c>
      <c r="F15" s="41">
        <v>302</v>
      </c>
      <c r="G15" s="41">
        <v>310</v>
      </c>
      <c r="H15" s="41">
        <v>379</v>
      </c>
      <c r="I15" s="41">
        <v>300</v>
      </c>
      <c r="J15" s="41">
        <v>299</v>
      </c>
      <c r="K15" s="42">
        <v>252</v>
      </c>
    </row>
    <row r="16" spans="1:11" ht="15.75" thickBot="1" x14ac:dyDescent="0.3">
      <c r="A16" s="83"/>
      <c r="B16" s="89" t="s">
        <v>15</v>
      </c>
      <c r="C16" s="90"/>
      <c r="D16" s="62">
        <f t="shared" ref="D16:K16" si="0">SUM(D8:D11)</f>
        <v>1940</v>
      </c>
      <c r="E16" s="63">
        <f t="shared" si="0"/>
        <v>1940</v>
      </c>
      <c r="F16" s="63">
        <f t="shared" si="0"/>
        <v>1940</v>
      </c>
      <c r="G16" s="63">
        <f t="shared" si="0"/>
        <v>1940</v>
      </c>
      <c r="H16" s="63">
        <f t="shared" si="0"/>
        <v>1940</v>
      </c>
      <c r="I16" s="63">
        <f t="shared" si="0"/>
        <v>1940</v>
      </c>
      <c r="J16" s="63">
        <f t="shared" si="0"/>
        <v>1760</v>
      </c>
      <c r="K16" s="64">
        <f t="shared" si="0"/>
        <v>1940</v>
      </c>
    </row>
    <row r="17" spans="1:11" x14ac:dyDescent="0.25">
      <c r="C17" s="4" t="s">
        <v>30</v>
      </c>
      <c r="D17">
        <f>SUM(D12:D15)</f>
        <v>1940</v>
      </c>
      <c r="E17">
        <f t="shared" ref="E17:K17" si="1">SUM(E12:E15)</f>
        <v>1940</v>
      </c>
      <c r="F17">
        <f t="shared" si="1"/>
        <v>1940</v>
      </c>
      <c r="G17">
        <f t="shared" si="1"/>
        <v>1940</v>
      </c>
      <c r="H17">
        <f t="shared" si="1"/>
        <v>1940</v>
      </c>
      <c r="I17">
        <f t="shared" si="1"/>
        <v>1940</v>
      </c>
      <c r="J17">
        <f t="shared" si="1"/>
        <v>1760</v>
      </c>
      <c r="K17">
        <f t="shared" si="1"/>
        <v>1940</v>
      </c>
    </row>
    <row r="18" spans="1:11" x14ac:dyDescent="0.25">
      <c r="D18" s="43">
        <f>ABS(D16-D17)</f>
        <v>0</v>
      </c>
      <c r="E18" s="43">
        <f t="shared" ref="E18:K18" si="2">ABS(E16-E17)</f>
        <v>0</v>
      </c>
      <c r="F18" s="43">
        <f t="shared" si="2"/>
        <v>0</v>
      </c>
      <c r="G18" s="43">
        <f t="shared" si="2"/>
        <v>0</v>
      </c>
      <c r="H18" s="43">
        <f t="shared" si="2"/>
        <v>0</v>
      </c>
      <c r="I18" s="43">
        <f t="shared" si="2"/>
        <v>0</v>
      </c>
      <c r="J18" s="43">
        <f t="shared" si="2"/>
        <v>0</v>
      </c>
      <c r="K18" s="43">
        <f t="shared" si="2"/>
        <v>0</v>
      </c>
    </row>
    <row r="19" spans="1:11" ht="15.75" thickBot="1" x14ac:dyDescent="0.3"/>
    <row r="20" spans="1:11" ht="21.75" thickBot="1" x14ac:dyDescent="0.4">
      <c r="A20" s="1"/>
      <c r="B20" s="11"/>
      <c r="C20" s="3"/>
      <c r="D20" s="67" t="s">
        <v>0</v>
      </c>
      <c r="E20" s="65" t="s">
        <v>1</v>
      </c>
      <c r="F20" s="65" t="s">
        <v>2</v>
      </c>
      <c r="G20" s="65" t="s">
        <v>3</v>
      </c>
      <c r="H20" s="65" t="s">
        <v>4</v>
      </c>
      <c r="I20" s="65" t="s">
        <v>5</v>
      </c>
      <c r="J20" s="65" t="s">
        <v>6</v>
      </c>
      <c r="K20" s="66" t="s">
        <v>7</v>
      </c>
    </row>
    <row r="21" spans="1:11" x14ac:dyDescent="0.25">
      <c r="A21" s="2"/>
      <c r="B21" s="84" t="s">
        <v>8</v>
      </c>
      <c r="C21" s="68" t="s">
        <v>33</v>
      </c>
      <c r="D21" s="44" t="str">
        <f>IF(ISBLANK(D4)," ",D4)</f>
        <v>C1+C2+C3+C4</v>
      </c>
      <c r="E21" s="45" t="str">
        <f t="shared" ref="E21:K21" si="3">IF(ISBLANK(E4)," ",E4)</f>
        <v>C1+C2+C3+C4</v>
      </c>
      <c r="F21" s="45" t="str">
        <f t="shared" si="3"/>
        <v>C1+C2+C3+C4</v>
      </c>
      <c r="G21" s="45" t="str">
        <f t="shared" si="3"/>
        <v>C1+C2+C3+C4</v>
      </c>
      <c r="H21" s="45" t="str">
        <f t="shared" si="3"/>
        <v>C1+C2+C3+C4</v>
      </c>
      <c r="I21" s="45" t="str">
        <f t="shared" si="3"/>
        <v>C1+C2+C3+C4</v>
      </c>
      <c r="J21" s="45" t="str">
        <f t="shared" si="3"/>
        <v>C1</v>
      </c>
      <c r="K21" s="46" t="str">
        <f t="shared" si="3"/>
        <v>C1+C2+C3+C4</v>
      </c>
    </row>
    <row r="22" spans="1:11" x14ac:dyDescent="0.25">
      <c r="A22" s="6"/>
      <c r="B22" s="85"/>
      <c r="C22" s="15" t="s">
        <v>34</v>
      </c>
      <c r="D22" s="47" t="str">
        <f t="shared" ref="D22:K24" si="4">IF(ISBLANK(D5)," ",D5)</f>
        <v xml:space="preserve"> </v>
      </c>
      <c r="E22" s="48" t="str">
        <f t="shared" si="4"/>
        <v xml:space="preserve"> </v>
      </c>
      <c r="F22" s="48" t="str">
        <f t="shared" si="4"/>
        <v xml:space="preserve"> </v>
      </c>
      <c r="G22" s="48" t="str">
        <f t="shared" si="4"/>
        <v xml:space="preserve"> </v>
      </c>
      <c r="H22" s="48" t="str">
        <f t="shared" si="4"/>
        <v xml:space="preserve"> </v>
      </c>
      <c r="I22" s="48" t="str">
        <f t="shared" si="4"/>
        <v xml:space="preserve"> </v>
      </c>
      <c r="J22" s="48" t="str">
        <f t="shared" si="4"/>
        <v>C2+C3+C4</v>
      </c>
      <c r="K22" s="49" t="str">
        <f t="shared" si="4"/>
        <v xml:space="preserve"> </v>
      </c>
    </row>
    <row r="23" spans="1:11" x14ac:dyDescent="0.25">
      <c r="A23" s="6"/>
      <c r="B23" s="85"/>
      <c r="C23" s="15" t="s">
        <v>35</v>
      </c>
      <c r="D23" s="47" t="str">
        <f t="shared" si="4"/>
        <v xml:space="preserve"> </v>
      </c>
      <c r="E23" s="48" t="str">
        <f t="shared" si="4"/>
        <v xml:space="preserve"> </v>
      </c>
      <c r="F23" s="48" t="str">
        <f t="shared" si="4"/>
        <v xml:space="preserve"> </v>
      </c>
      <c r="G23" s="48" t="str">
        <f t="shared" si="4"/>
        <v xml:space="preserve"> </v>
      </c>
      <c r="H23" s="48" t="str">
        <f t="shared" si="4"/>
        <v xml:space="preserve"> </v>
      </c>
      <c r="I23" s="48" t="str">
        <f t="shared" si="4"/>
        <v xml:space="preserve"> </v>
      </c>
      <c r="J23" s="48" t="str">
        <f t="shared" si="4"/>
        <v xml:space="preserve"> </v>
      </c>
      <c r="K23" s="49" t="str">
        <f t="shared" si="4"/>
        <v xml:space="preserve"> </v>
      </c>
    </row>
    <row r="24" spans="1:11" ht="15.75" thickBot="1" x14ac:dyDescent="0.3">
      <c r="A24" s="8"/>
      <c r="B24" s="91"/>
      <c r="C24" s="69" t="s">
        <v>36</v>
      </c>
      <c r="D24" s="50" t="str">
        <f t="shared" si="4"/>
        <v xml:space="preserve"> </v>
      </c>
      <c r="E24" s="51" t="str">
        <f t="shared" si="4"/>
        <v xml:space="preserve"> </v>
      </c>
      <c r="F24" s="51" t="str">
        <f t="shared" si="4"/>
        <v xml:space="preserve"> </v>
      </c>
      <c r="G24" s="51" t="str">
        <f t="shared" si="4"/>
        <v xml:space="preserve"> </v>
      </c>
      <c r="H24" s="51" t="str">
        <f t="shared" si="4"/>
        <v xml:space="preserve"> </v>
      </c>
      <c r="I24" s="51" t="str">
        <f t="shared" si="4"/>
        <v xml:space="preserve"> </v>
      </c>
      <c r="J24" s="51" t="str">
        <f t="shared" si="4"/>
        <v xml:space="preserve"> </v>
      </c>
      <c r="K24" s="52" t="str">
        <f t="shared" si="4"/>
        <v xml:space="preserve"> </v>
      </c>
    </row>
    <row r="25" spans="1:11" x14ac:dyDescent="0.25">
      <c r="A25" s="82" t="s">
        <v>16</v>
      </c>
      <c r="B25" s="87" t="s">
        <v>8</v>
      </c>
      <c r="C25" s="16" t="s">
        <v>33</v>
      </c>
      <c r="D25" s="70">
        <f>VLOOKUP(D21,Valeurs!$A$3:$E$18,5,FALSE)</f>
        <v>5.72</v>
      </c>
      <c r="E25" s="71">
        <f>VLOOKUP(E21,Valeurs!$A$3:$E$18,5,FALSE)</f>
        <v>5.72</v>
      </c>
      <c r="F25" s="71">
        <f>VLOOKUP(F21,Valeurs!$A$3:$E$18,5,FALSE)</f>
        <v>5.72</v>
      </c>
      <c r="G25" s="71">
        <f>VLOOKUP(G21,Valeurs!$A$3:$E$18,5,FALSE)</f>
        <v>5.72</v>
      </c>
      <c r="H25" s="71">
        <f>VLOOKUP(H21,Valeurs!$A$3:$E$18,5,FALSE)</f>
        <v>5.72</v>
      </c>
      <c r="I25" s="71">
        <f>VLOOKUP(I21,Valeurs!$A$3:$E$18,5,FALSE)</f>
        <v>5.72</v>
      </c>
      <c r="J25" s="71">
        <f>VLOOKUP(J21,Valeurs!$A$3:$E$18,5,FALSE)</f>
        <v>0</v>
      </c>
      <c r="K25" s="72">
        <f>VLOOKUP(K21,Valeurs!$A$3:$E$18,5,FALSE)</f>
        <v>5.72</v>
      </c>
    </row>
    <row r="26" spans="1:11" x14ac:dyDescent="0.25">
      <c r="A26" s="82"/>
      <c r="B26" s="87"/>
      <c r="C26" s="16" t="s">
        <v>34</v>
      </c>
      <c r="D26" s="56" t="str">
        <f>VLOOKUP(D22,Valeurs!$A$3:$E$18,5,FALSE)</f>
        <v xml:space="preserve"> </v>
      </c>
      <c r="E26" s="57" t="str">
        <f>VLOOKUP(E22,Valeurs!$A$3:$E$18,5,FALSE)</f>
        <v xml:space="preserve"> </v>
      </c>
      <c r="F26" s="57" t="str">
        <f>VLOOKUP(F22,Valeurs!$A$3:$E$18,5,FALSE)</f>
        <v xml:space="preserve"> </v>
      </c>
      <c r="G26" s="57" t="str">
        <f>VLOOKUP(G22,Valeurs!$A$3:$E$18,5,FALSE)</f>
        <v xml:space="preserve"> </v>
      </c>
      <c r="H26" s="57" t="str">
        <f>VLOOKUP(H22,Valeurs!$A$3:$E$18,5,FALSE)</f>
        <v xml:space="preserve"> </v>
      </c>
      <c r="I26" s="57" t="str">
        <f>VLOOKUP(I22,Valeurs!$A$3:$E$18,5,FALSE)</f>
        <v xml:space="preserve"> </v>
      </c>
      <c r="J26" s="57">
        <f>VLOOKUP(J22,Valeurs!$A$3:$E$18,5,FALSE)</f>
        <v>5.84</v>
      </c>
      <c r="K26" s="58" t="str">
        <f>VLOOKUP(K22,Valeurs!$A$3:$E$18,5,FALSE)</f>
        <v xml:space="preserve"> </v>
      </c>
    </row>
    <row r="27" spans="1:11" x14ac:dyDescent="0.25">
      <c r="A27" s="82"/>
      <c r="B27" s="87"/>
      <c r="C27" s="16" t="s">
        <v>35</v>
      </c>
      <c r="D27" s="56" t="str">
        <f>VLOOKUP(D23,Valeurs!$A$3:$E$18,5,FALSE)</f>
        <v xml:space="preserve"> </v>
      </c>
      <c r="E27" s="57" t="str">
        <f>VLOOKUP(E23,Valeurs!$A$3:$E$18,5,FALSE)</f>
        <v xml:space="preserve"> </v>
      </c>
      <c r="F27" s="57" t="str">
        <f>VLOOKUP(F23,Valeurs!$A$3:$E$18,5,FALSE)</f>
        <v xml:space="preserve"> </v>
      </c>
      <c r="G27" s="57" t="str">
        <f>VLOOKUP(G23,Valeurs!$A$3:$E$18,5,FALSE)</f>
        <v xml:space="preserve"> </v>
      </c>
      <c r="H27" s="57" t="str">
        <f>VLOOKUP(H23,Valeurs!$A$3:$E$18,5,FALSE)</f>
        <v xml:space="preserve"> </v>
      </c>
      <c r="I27" s="57" t="str">
        <f>VLOOKUP(I23,Valeurs!$A$3:$E$18,5,FALSE)</f>
        <v xml:space="preserve"> </v>
      </c>
      <c r="J27" s="57" t="str">
        <f>VLOOKUP(J23,Valeurs!$A$3:$E$18,5,FALSE)</f>
        <v xml:space="preserve"> </v>
      </c>
      <c r="K27" s="58" t="str">
        <f>VLOOKUP(K23,Valeurs!$A$3:$E$18,5,FALSE)</f>
        <v xml:space="preserve"> </v>
      </c>
    </row>
    <row r="28" spans="1:11" ht="15.75" thickBot="1" x14ac:dyDescent="0.3">
      <c r="A28" s="82"/>
      <c r="B28" s="87"/>
      <c r="C28" s="16" t="s">
        <v>36</v>
      </c>
      <c r="D28" s="59" t="str">
        <f>VLOOKUP(D24,Valeurs!$A$3:$E$18,5,FALSE)</f>
        <v xml:space="preserve"> </v>
      </c>
      <c r="E28" s="60" t="str">
        <f>VLOOKUP(E24,Valeurs!$A$3:$E$18,5,FALSE)</f>
        <v xml:space="preserve"> </v>
      </c>
      <c r="F28" s="60" t="str">
        <f>VLOOKUP(F24,Valeurs!$A$3:$E$18,5,FALSE)</f>
        <v xml:space="preserve"> </v>
      </c>
      <c r="G28" s="60" t="str">
        <f>VLOOKUP(G24,Valeurs!$A$3:$E$18,5,FALSE)</f>
        <v xml:space="preserve"> </v>
      </c>
      <c r="H28" s="60" t="str">
        <f>VLOOKUP(H24,Valeurs!$A$3:$E$18,5,FALSE)</f>
        <v xml:space="preserve"> </v>
      </c>
      <c r="I28" s="60" t="str">
        <f>VLOOKUP(I24,Valeurs!$A$3:$E$18,5,FALSE)</f>
        <v xml:space="preserve"> </v>
      </c>
      <c r="J28" s="60" t="str">
        <f>VLOOKUP(J24,Valeurs!$A$3:$E$18,5,FALSE)</f>
        <v xml:space="preserve"> </v>
      </c>
      <c r="K28" s="61" t="str">
        <f>VLOOKUP(K24,Valeurs!$A$3:$E$18,5,FALSE)</f>
        <v xml:space="preserve"> </v>
      </c>
    </row>
    <row r="29" spans="1:11" x14ac:dyDescent="0.25">
      <c r="A29" s="82"/>
      <c r="B29" s="86" t="s">
        <v>37</v>
      </c>
      <c r="C29" s="12" t="s">
        <v>11</v>
      </c>
      <c r="D29" s="53">
        <f>D12/VLOOKUP($C29,Valeurs!$A$3:$D$18,3,FALSE)*100</f>
        <v>4.8412698412698418</v>
      </c>
      <c r="E29" s="54">
        <f>E12/VLOOKUP($C29,Valeurs!$A$3:$D$18,3,FALSE)*100</f>
        <v>4.6825396825396828</v>
      </c>
      <c r="F29" s="54">
        <f>F12/VLOOKUP($C29,Valeurs!$A$3:$D$18,3,FALSE)*100</f>
        <v>5.5820105820105814</v>
      </c>
      <c r="G29" s="54">
        <f>G12/VLOOKUP($C29,Valeurs!$A$3:$D$18,3,FALSE)*100</f>
        <v>3.9682539682539679</v>
      </c>
      <c r="H29" s="54">
        <f>H12/VLOOKUP($C29,Valeurs!$A$3:$D$18,3,FALSE)*100</f>
        <v>8.4656084656084651</v>
      </c>
      <c r="I29" s="54">
        <f>I12/VLOOKUP($C29,Valeurs!$A$3:$D$18,3,FALSE)*100</f>
        <v>5.2910052910052912</v>
      </c>
      <c r="J29" s="54">
        <f>J12/VLOOKUP($C29,Valeurs!$A$3:$D$18,3,FALSE)*100</f>
        <v>0.13227513227513227</v>
      </c>
      <c r="K29" s="55">
        <f>K12/VLOOKUP($C29,Valeurs!$A$3:$D$18,3,FALSE)*100</f>
        <v>4.7619047619047619</v>
      </c>
    </row>
    <row r="30" spans="1:11" x14ac:dyDescent="0.25">
      <c r="A30" s="82"/>
      <c r="B30" s="87"/>
      <c r="C30" s="13" t="s">
        <v>12</v>
      </c>
      <c r="D30" s="56">
        <f>D13/VLOOKUP($C30,Valeurs!$A$3:$D$18,3,FALSE)*100</f>
        <v>5.726783310901749</v>
      </c>
      <c r="E30" s="57">
        <f>E13/VLOOKUP($C30,Valeurs!$A$3:$D$18,3,FALSE)*100</f>
        <v>5.8411843876177656</v>
      </c>
      <c r="F30" s="57">
        <f>F13/VLOOKUP($C30,Valeurs!$A$3:$D$18,3,FALSE)*100</f>
        <v>5.7133243606998656</v>
      </c>
      <c r="G30" s="57">
        <f>G13/VLOOKUP($C30,Valeurs!$A$3:$D$18,3,FALSE)*100</f>
        <v>5.9892328398384924</v>
      </c>
      <c r="H30" s="57">
        <f>H13/VLOOKUP($C30,Valeurs!$A$3:$D$18,3,FALSE)*100</f>
        <v>4.5020188425302825</v>
      </c>
      <c r="I30" s="57">
        <f>I13/VLOOKUP($C30,Valeurs!$A$3:$D$18,3,FALSE)*100</f>
        <v>5.8142664872139971</v>
      </c>
      <c r="J30" s="57">
        <f>J13/VLOOKUP($C30,Valeurs!$A$3:$D$18,3,FALSE)*100</f>
        <v>5.3835800807537009</v>
      </c>
      <c r="K30" s="58">
        <f>K13/VLOOKUP($C30,Valeurs!$A$3:$D$18,3,FALSE)*100</f>
        <v>5.7335127860026915</v>
      </c>
    </row>
    <row r="31" spans="1:11" x14ac:dyDescent="0.25">
      <c r="A31" s="82"/>
      <c r="B31" s="87"/>
      <c r="C31" s="13" t="s">
        <v>13</v>
      </c>
      <c r="D31" s="56">
        <f>D14/VLOOKUP($C31,Valeurs!$A$3:$D$18,3,FALSE)*100</f>
        <v>6.3346228239845264</v>
      </c>
      <c r="E31" s="57">
        <f>E14/VLOOKUP($C31,Valeurs!$A$3:$D$18,3,FALSE)*100</f>
        <v>5.8607350096711803</v>
      </c>
      <c r="F31" s="57">
        <f>F14/VLOOKUP($C31,Valeurs!$A$3:$D$18,3,FALSE)*100</f>
        <v>5.5899419729206965</v>
      </c>
      <c r="G31" s="57">
        <f>G14/VLOOKUP($C31,Valeurs!$A$3:$D$18,3,FALSE)*100</f>
        <v>5.7059961315280461</v>
      </c>
      <c r="H31" s="57">
        <f>H14/VLOOKUP($C31,Valeurs!$A$3:$D$18,3,FALSE)*100</f>
        <v>5.5319148936170208</v>
      </c>
      <c r="I31" s="57">
        <f>I14/VLOOKUP($C31,Valeurs!$A$3:$D$18,3,FALSE)*100</f>
        <v>5.5705996131528046</v>
      </c>
      <c r="J31" s="57">
        <f>J14/VLOOKUP($C31,Valeurs!$A$3:$D$18,3,FALSE)*100</f>
        <v>6.3442940038684723</v>
      </c>
      <c r="K31" s="58">
        <f>K14/VLOOKUP($C31,Valeurs!$A$3:$D$18,3,FALSE)*100</f>
        <v>6.3442940038684723</v>
      </c>
    </row>
    <row r="32" spans="1:11" ht="15.75" thickBot="1" x14ac:dyDescent="0.3">
      <c r="A32" s="83"/>
      <c r="B32" s="88"/>
      <c r="C32" s="14" t="s">
        <v>14</v>
      </c>
      <c r="D32" s="59">
        <f>D15/VLOOKUP($C32,Valeurs!$A$3:$D$18,3,FALSE)*100</f>
        <v>5.060483870967742</v>
      </c>
      <c r="E32" s="60">
        <f>E15/VLOOKUP($C32,Valeurs!$A$3:$D$18,3,FALSE)*100</f>
        <v>5.8266129032258061</v>
      </c>
      <c r="F32" s="60">
        <f>F15/VLOOKUP($C32,Valeurs!$A$3:$D$18,3,FALSE)*100</f>
        <v>6.088709677419355</v>
      </c>
      <c r="G32" s="60">
        <f>G15/VLOOKUP($C32,Valeurs!$A$3:$D$18,3,FALSE)*100</f>
        <v>6.25</v>
      </c>
      <c r="H32" s="60">
        <f>H15/VLOOKUP($C32,Valeurs!$A$3:$D$18,3,FALSE)*100</f>
        <v>7.6411290322580649</v>
      </c>
      <c r="I32" s="60">
        <f>I15/VLOOKUP($C32,Valeurs!$A$3:$D$18,3,FALSE)*100</f>
        <v>6.0483870967741939</v>
      </c>
      <c r="J32" s="60">
        <f>J15/VLOOKUP($C32,Valeurs!$A$3:$D$18,3,FALSE)*100</f>
        <v>6.028225806451613</v>
      </c>
      <c r="K32" s="61">
        <f>K15/VLOOKUP($C32,Valeurs!$A$3:$D$18,3,FALSE)*100</f>
        <v>5.0806451612903221</v>
      </c>
    </row>
  </sheetData>
  <sheetProtection selectLockedCells="1"/>
  <mergeCells count="9">
    <mergeCell ref="B4:B7"/>
    <mergeCell ref="A8:A16"/>
    <mergeCell ref="B21:B24"/>
    <mergeCell ref="A25:A32"/>
    <mergeCell ref="B16:C16"/>
    <mergeCell ref="B8:B11"/>
    <mergeCell ref="B25:B28"/>
    <mergeCell ref="B12:B15"/>
    <mergeCell ref="B29:B32"/>
  </mergeCells>
  <conditionalFormatting sqref="D17:K17">
    <cfRule type="expression" dxfId="1" priority="1">
      <formula>D$18&gt;=1</formula>
    </cfRule>
    <cfRule type="expression" dxfId="0" priority="2">
      <formula>D$18&gt;0</formula>
    </cfRule>
  </conditionalFormatting>
  <dataValidations count="1">
    <dataValidation type="list" allowBlank="1" showInputMessage="1" showErrorMessage="1" sqref="D4:K7">
      <formula1>coalition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sqref="A1:A2"/>
    </sheetView>
  </sheetViews>
  <sheetFormatPr defaultColWidth="11.42578125" defaultRowHeight="15" x14ac:dyDescent="0.25"/>
  <cols>
    <col min="1" max="1" width="15.5703125" style="17" customWidth="1"/>
    <col min="2" max="2" width="22.140625" style="17" customWidth="1"/>
    <col min="3" max="3" width="17.42578125" style="17" customWidth="1"/>
    <col min="4" max="4" width="14.28515625" style="17" customWidth="1"/>
    <col min="5" max="5" width="18.42578125" style="17" customWidth="1"/>
    <col min="6" max="16384" width="11.42578125" style="17"/>
  </cols>
  <sheetData>
    <row r="1" spans="1:5" ht="21.75" customHeight="1" x14ac:dyDescent="0.25">
      <c r="A1" s="92" t="s">
        <v>41</v>
      </c>
      <c r="B1" s="96" t="s">
        <v>38</v>
      </c>
      <c r="C1" s="30" t="s">
        <v>17</v>
      </c>
      <c r="D1" s="94" t="s">
        <v>10</v>
      </c>
      <c r="E1" s="98" t="s">
        <v>39</v>
      </c>
    </row>
    <row r="2" spans="1:5" ht="30.75" thickBot="1" x14ac:dyDescent="0.3">
      <c r="A2" s="93"/>
      <c r="B2" s="97"/>
      <c r="C2" s="31" t="s">
        <v>18</v>
      </c>
      <c r="D2" s="95"/>
      <c r="E2" s="99"/>
    </row>
    <row r="3" spans="1:5" ht="15" customHeight="1" x14ac:dyDescent="0.25">
      <c r="A3" s="27" t="s">
        <v>9</v>
      </c>
      <c r="B3" s="25" t="s">
        <v>9</v>
      </c>
      <c r="C3" s="22" t="s">
        <v>9</v>
      </c>
      <c r="D3" s="22" t="s">
        <v>9</v>
      </c>
      <c r="E3" s="23" t="s">
        <v>9</v>
      </c>
    </row>
    <row r="4" spans="1:5" ht="15" customHeight="1" x14ac:dyDescent="0.25">
      <c r="A4" s="28" t="s">
        <v>11</v>
      </c>
      <c r="B4" s="26">
        <v>3780</v>
      </c>
      <c r="C4" s="18">
        <v>3780</v>
      </c>
      <c r="D4" s="18">
        <v>0</v>
      </c>
      <c r="E4" s="19">
        <v>0</v>
      </c>
    </row>
    <row r="5" spans="1:5" ht="15" customHeight="1" x14ac:dyDescent="0.25">
      <c r="A5" s="28" t="s">
        <v>19</v>
      </c>
      <c r="B5" s="26">
        <v>18300</v>
      </c>
      <c r="C5" s="18">
        <v>18640</v>
      </c>
      <c r="D5" s="18">
        <v>340</v>
      </c>
      <c r="E5" s="19">
        <v>1.82</v>
      </c>
    </row>
    <row r="6" spans="1:5" ht="15" customHeight="1" x14ac:dyDescent="0.25">
      <c r="A6" s="28" t="s">
        <v>20</v>
      </c>
      <c r="B6" s="26">
        <v>14000</v>
      </c>
      <c r="C6" s="18">
        <v>14120</v>
      </c>
      <c r="D6" s="18">
        <v>120</v>
      </c>
      <c r="E6" s="19">
        <v>0.85</v>
      </c>
    </row>
    <row r="7" spans="1:5" ht="15" customHeight="1" x14ac:dyDescent="0.25">
      <c r="A7" s="28" t="s">
        <v>21</v>
      </c>
      <c r="B7" s="26">
        <v>8510</v>
      </c>
      <c r="C7" s="18">
        <v>8740</v>
      </c>
      <c r="D7" s="18">
        <v>230</v>
      </c>
      <c r="E7" s="19">
        <v>2.63</v>
      </c>
    </row>
    <row r="8" spans="1:5" ht="15" customHeight="1" x14ac:dyDescent="0.25">
      <c r="A8" s="28" t="s">
        <v>22</v>
      </c>
      <c r="B8" s="26">
        <v>27710</v>
      </c>
      <c r="C8" s="18">
        <v>28980</v>
      </c>
      <c r="D8" s="18">
        <v>1270</v>
      </c>
      <c r="E8" s="19">
        <v>4.38</v>
      </c>
    </row>
    <row r="9" spans="1:5" ht="15" customHeight="1" x14ac:dyDescent="0.25">
      <c r="A9" s="28" t="s">
        <v>23</v>
      </c>
      <c r="B9" s="26">
        <v>32000</v>
      </c>
      <c r="C9" s="18">
        <v>33940</v>
      </c>
      <c r="D9" s="18">
        <v>1940</v>
      </c>
      <c r="E9" s="19">
        <v>5.72</v>
      </c>
    </row>
    <row r="10" spans="1:5" ht="15" customHeight="1" x14ac:dyDescent="0.25">
      <c r="A10" s="28" t="s">
        <v>24</v>
      </c>
      <c r="B10" s="26">
        <v>22490</v>
      </c>
      <c r="C10" s="18">
        <v>23600</v>
      </c>
      <c r="D10" s="18">
        <v>1110</v>
      </c>
      <c r="E10" s="19">
        <v>4.7</v>
      </c>
    </row>
    <row r="11" spans="1:5" ht="15" customHeight="1" x14ac:dyDescent="0.25">
      <c r="A11" s="28" t="s">
        <v>25</v>
      </c>
      <c r="B11" s="26">
        <v>18580</v>
      </c>
      <c r="C11" s="18">
        <v>19080</v>
      </c>
      <c r="D11" s="18">
        <v>500</v>
      </c>
      <c r="E11" s="19">
        <v>2.62</v>
      </c>
    </row>
    <row r="12" spans="1:5" ht="15" customHeight="1" x14ac:dyDescent="0.25">
      <c r="A12" s="28" t="s">
        <v>12</v>
      </c>
      <c r="B12" s="26">
        <v>14860</v>
      </c>
      <c r="C12" s="18">
        <v>14860</v>
      </c>
      <c r="D12" s="18">
        <v>0</v>
      </c>
      <c r="E12" s="19">
        <v>0</v>
      </c>
    </row>
    <row r="13" spans="1:5" ht="15" customHeight="1" x14ac:dyDescent="0.25">
      <c r="A13" s="28" t="s">
        <v>26</v>
      </c>
      <c r="B13" s="26">
        <v>24210</v>
      </c>
      <c r="C13" s="18">
        <v>25200</v>
      </c>
      <c r="D13" s="18">
        <v>990</v>
      </c>
      <c r="E13" s="19">
        <v>3.93</v>
      </c>
    </row>
    <row r="14" spans="1:5" ht="15" customHeight="1" x14ac:dyDescent="0.25">
      <c r="A14" s="28" t="s">
        <v>27</v>
      </c>
      <c r="B14" s="26">
        <v>19040</v>
      </c>
      <c r="C14" s="18">
        <v>19820</v>
      </c>
      <c r="D14" s="18">
        <v>780</v>
      </c>
      <c r="E14" s="19">
        <v>3.94</v>
      </c>
    </row>
    <row r="15" spans="1:5" ht="15" customHeight="1" x14ac:dyDescent="0.25">
      <c r="A15" s="28" t="s">
        <v>28</v>
      </c>
      <c r="B15" s="26">
        <v>28400</v>
      </c>
      <c r="C15" s="18">
        <v>30160</v>
      </c>
      <c r="D15" s="18">
        <v>1760</v>
      </c>
      <c r="E15" s="19">
        <v>5.84</v>
      </c>
    </row>
    <row r="16" spans="1:5" ht="15" customHeight="1" x14ac:dyDescent="0.25">
      <c r="A16" s="28" t="s">
        <v>13</v>
      </c>
      <c r="B16" s="26">
        <v>10340</v>
      </c>
      <c r="C16" s="18">
        <v>10340</v>
      </c>
      <c r="D16" s="18">
        <v>0</v>
      </c>
      <c r="E16" s="19">
        <v>0</v>
      </c>
    </row>
    <row r="17" spans="1:5" ht="15" customHeight="1" x14ac:dyDescent="0.25">
      <c r="A17" s="28" t="s">
        <v>29</v>
      </c>
      <c r="B17" s="26">
        <v>15060</v>
      </c>
      <c r="C17" s="18">
        <v>15300</v>
      </c>
      <c r="D17" s="18">
        <v>240</v>
      </c>
      <c r="E17" s="19">
        <v>1.57</v>
      </c>
    </row>
    <row r="18" spans="1:5" ht="15" customHeight="1" thickBot="1" x14ac:dyDescent="0.3">
      <c r="A18" s="29" t="s">
        <v>14</v>
      </c>
      <c r="B18" s="24">
        <v>4960</v>
      </c>
      <c r="C18" s="20">
        <v>4960</v>
      </c>
      <c r="D18" s="20">
        <v>0</v>
      </c>
      <c r="E18" s="21">
        <v>0</v>
      </c>
    </row>
    <row r="19" spans="1:5" x14ac:dyDescent="0.25">
      <c r="E19" s="101"/>
    </row>
    <row r="20" spans="1:5" ht="15.75" thickBot="1" x14ac:dyDescent="0.3">
      <c r="E20" s="100"/>
    </row>
    <row r="21" spans="1:5" ht="30.75" thickBot="1" x14ac:dyDescent="0.3">
      <c r="A21" s="33" t="s">
        <v>40</v>
      </c>
    </row>
    <row r="22" spans="1:5" x14ac:dyDescent="0.25">
      <c r="A22" s="32" t="s">
        <v>9</v>
      </c>
    </row>
    <row r="23" spans="1:5" x14ac:dyDescent="0.25">
      <c r="A23" s="28" t="s">
        <v>11</v>
      </c>
    </row>
    <row r="24" spans="1:5" x14ac:dyDescent="0.25">
      <c r="A24" s="28" t="s">
        <v>12</v>
      </c>
    </row>
    <row r="25" spans="1:5" x14ac:dyDescent="0.25">
      <c r="A25" s="28" t="s">
        <v>13</v>
      </c>
    </row>
    <row r="26" spans="1:5" x14ac:dyDescent="0.25">
      <c r="A26" s="28" t="s">
        <v>14</v>
      </c>
    </row>
    <row r="27" spans="1:5" x14ac:dyDescent="0.25">
      <c r="A27" s="28" t="s">
        <v>19</v>
      </c>
    </row>
    <row r="28" spans="1:5" x14ac:dyDescent="0.25">
      <c r="A28" s="28" t="s">
        <v>20</v>
      </c>
    </row>
    <row r="29" spans="1:5" x14ac:dyDescent="0.25">
      <c r="A29" s="28" t="s">
        <v>21</v>
      </c>
    </row>
    <row r="30" spans="1:5" x14ac:dyDescent="0.25">
      <c r="A30" s="28" t="s">
        <v>26</v>
      </c>
    </row>
    <row r="31" spans="1:5" x14ac:dyDescent="0.25">
      <c r="A31" s="28" t="s">
        <v>27</v>
      </c>
    </row>
    <row r="32" spans="1:5" x14ac:dyDescent="0.25">
      <c r="A32" s="28" t="s">
        <v>29</v>
      </c>
    </row>
    <row r="33" spans="1:1" x14ac:dyDescent="0.25">
      <c r="A33" s="28" t="s">
        <v>22</v>
      </c>
    </row>
    <row r="34" spans="1:1" x14ac:dyDescent="0.25">
      <c r="A34" s="28" t="s">
        <v>24</v>
      </c>
    </row>
    <row r="35" spans="1:1" x14ac:dyDescent="0.25">
      <c r="A35" s="28" t="s">
        <v>25</v>
      </c>
    </row>
    <row r="36" spans="1:1" x14ac:dyDescent="0.25">
      <c r="A36" s="28" t="s">
        <v>28</v>
      </c>
    </row>
    <row r="37" spans="1:1" ht="15.75" thickBot="1" x14ac:dyDescent="0.3">
      <c r="A37" s="29" t="s">
        <v>23</v>
      </c>
    </row>
  </sheetData>
  <sheetProtection selectLockedCells="1"/>
  <mergeCells count="5">
    <mergeCell ref="A1:A2"/>
    <mergeCell ref="D1:D2"/>
    <mergeCell ref="B1:B2"/>
    <mergeCell ref="E1:E2"/>
    <mergeCell ref="E19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Partie A</vt:lpstr>
      <vt:lpstr>Partie B</vt:lpstr>
      <vt:lpstr>Valeurs</vt:lpstr>
      <vt:lpstr>coalition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Marier</dc:creator>
  <cp:lastModifiedBy>Philippe Marier</cp:lastModifiedBy>
  <dcterms:created xsi:type="dcterms:W3CDTF">2010-08-31T15:18:25Z</dcterms:created>
  <dcterms:modified xsi:type="dcterms:W3CDTF">2018-08-31T17:54:21Z</dcterms:modified>
</cp:coreProperties>
</file>